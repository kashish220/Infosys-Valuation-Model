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style1.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75" windowHeight="8808" tabRatio="500"/>
  </bookViews>
  <sheets>
    <sheet name="Index" sheetId="1" r:id="rId1"/>
    <sheet name="Assumptions" sheetId="2" r:id="rId2"/>
    <sheet name="P&amp;L Input" sheetId="3" r:id="rId3"/>
    <sheet name="BS Input" sheetId="4" r:id="rId4"/>
    <sheet name="CF Input" sheetId="5" r:id="rId5"/>
    <sheet name="Common Sizing" sheetId="6" r:id="rId6"/>
    <sheet name="Revenue Buildup" sheetId="7" r:id="rId7"/>
    <sheet name="Cost Buildup" sheetId="8" r:id="rId8"/>
    <sheet name="FAS" sheetId="9" r:id="rId9"/>
    <sheet name="BS items " sheetId="10" r:id="rId10"/>
    <sheet name="Working Capital" sheetId="11" r:id="rId11"/>
    <sheet name="Income Statement" sheetId="12" r:id="rId12"/>
    <sheet name="Balance Sheet" sheetId="13" r:id="rId13"/>
    <sheet name="Ratio Analysis" sheetId="14" r:id="rId14"/>
    <sheet name="Cash Flows" sheetId="15" r:id="rId15"/>
    <sheet name="Summary" sheetId="16" r:id="rId16"/>
    <sheet name="Standard Income Statement" sheetId="17" r:id="rId17"/>
    <sheet name="Charts" sheetId="18" r:id="rId18"/>
    <sheet name="Equity Beta" sheetId="19" r:id="rId19"/>
    <sheet name="Market data" sheetId="20" r:id="rId20"/>
    <sheet name="Comps Data" sheetId="21" r:id="rId21"/>
    <sheet name="COMPS" sheetId="22" r:id="rId22"/>
    <sheet name="DCF Valuation"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Author</author>
  </authors>
  <commentList>
    <comment ref="D30" authorId="0">
      <text>
        <r>
          <rPr>
            <sz val="10"/>
            <rFont val="Arial"/>
            <charset val="134"/>
          </rPr>
          <t>.:
As on 18 sep 2026
https://in.investing.com/rates-bonds/india-10-year-bond-yield-historical-data</t>
        </r>
      </text>
    </comment>
  </commentList>
</comments>
</file>

<file path=xl/comments2.xml><?xml version="1.0" encoding="utf-8"?>
<comments xmlns="http://schemas.openxmlformats.org/spreadsheetml/2006/main">
  <authors>
    <author>Unknown Author</author>
  </authors>
  <commentList>
    <comment ref="I5" authorId="0">
      <text>
        <r>
          <rPr>
            <sz val="10"/>
            <rFont val="Arial"/>
            <charset val="134"/>
          </rPr>
          <t>.:
As on 18 september 2026</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<sst xmlns="http://schemas.openxmlformats.org/spreadsheetml/2006/main" count="1061" uniqueCount="504">
  <si>
    <t>📥 INPUTS</t>
  </si>
  <si>
    <t>Assumptions</t>
  </si>
  <si>
    <t>P&amp;L Input</t>
  </si>
  <si>
    <t>BS Input</t>
  </si>
  <si>
    <t>CF Input</t>
  </si>
  <si>
    <t>Market Data</t>
  </si>
  <si>
    <t>Equity Beta</t>
  </si>
  <si>
    <t>Comps Data</t>
  </si>
  <si>
    <t>📊Calculation &amp; Analysis</t>
  </si>
  <si>
    <t>Common Sizing</t>
  </si>
  <si>
    <t>Revenue Build-up</t>
  </si>
  <si>
    <t>Working Capital</t>
  </si>
  <si>
    <t>Income Statement</t>
  </si>
  <si>
    <t>Balance Sheet</t>
  </si>
  <si>
    <t>Cash Flows</t>
  </si>
  <si>
    <t>Standard Income Statement</t>
  </si>
  <si>
    <t>Ratio Analysis</t>
  </si>
  <si>
    <t>DCF Valuation</t>
  </si>
  <si>
    <t>COMPS</t>
  </si>
  <si>
    <t>Charts</t>
  </si>
  <si>
    <t>FAS</t>
  </si>
  <si>
    <t>Infosys Limited</t>
  </si>
  <si>
    <t>Company Description</t>
  </si>
  <si>
    <t>ISIN Code</t>
  </si>
  <si>
    <t>INE009A01021</t>
  </si>
  <si>
    <t>Sector Name</t>
  </si>
  <si>
    <t>Information Technology</t>
  </si>
  <si>
    <t>Industry</t>
  </si>
  <si>
    <t>Computers - Software &amp; Consulting</t>
  </si>
  <si>
    <t>Exchange Name</t>
  </si>
  <si>
    <t>BSE: 500209, NSE: INFY</t>
  </si>
  <si>
    <t>Website</t>
  </si>
  <si>
    <t>https://www.infosys.com</t>
  </si>
  <si>
    <t>Infosys Limited is a global leader in AI-first business consulting and technology services. Established in 1981, Infosys helps enterprises across 59 countries navigate digital transformation through AI, cloud, digital services, consulting and technology solutions. With over 3.25 lakh employees and 1,965 active clients, the company focuses on enterprise transformation, AI-first services, cloud capabilities and digital innovation.</t>
  </si>
  <si>
    <t>Current Market Price</t>
  </si>
  <si>
    <t>Scenario</t>
  </si>
  <si>
    <t>Case</t>
  </si>
  <si>
    <t>Base case</t>
  </si>
  <si>
    <t>Company data</t>
  </si>
  <si>
    <t>Particulars</t>
  </si>
  <si>
    <t>Amount</t>
  </si>
  <si>
    <t>No of Outstanding shares</t>
  </si>
  <si>
    <t>Nos</t>
  </si>
  <si>
    <t>Face Value per share</t>
  </si>
  <si>
    <t>Rs.</t>
  </si>
  <si>
    <t>Market Capitalisation</t>
  </si>
  <si>
    <t>INR in Crs</t>
  </si>
  <si>
    <t>Perpetual Growth rate</t>
  </si>
  <si>
    <t>%</t>
  </si>
  <si>
    <t>10 year Bond yield rate</t>
  </si>
  <si>
    <t>Interest rate</t>
  </si>
  <si>
    <t>Bull Case Tapering Rate (p.a.)</t>
  </si>
  <si>
    <t>Revenue in Crs</t>
  </si>
  <si>
    <t>Company Revenue by Geography</t>
  </si>
  <si>
    <t>Year</t>
  </si>
  <si>
    <t>Rest of the World</t>
  </si>
  <si>
    <t>Headings</t>
  </si>
  <si>
    <t>Reference</t>
  </si>
  <si>
    <t>Revenue  Buildup</t>
  </si>
  <si>
    <t>H15:Q15</t>
  </si>
  <si>
    <t>Revenue is forecast using the historical average growth rate as the base assumption. The Bull Case assumes a higher growth rate than the Base Case, while the Bear Case assumes a lower growth rate. The growth rate under the scenarios is tapered by 1% annually to reflect a gradual moderation in growth over the forecast period.</t>
  </si>
  <si>
    <t>H18:Q18              H22:Q22</t>
  </si>
  <si>
    <t>Other Income is forecast at 2% of Revenue from Operations based on the historical trend. Exceptional Items were reported only in FY2026 at approximately 1% of Revenue from Operations. For the forecast period, Exceptional Items are assumed at 0.25% of Revenue from Operations to reflect a lower impact compared with FY2026.</t>
  </si>
  <si>
    <t>Cost Buildup</t>
  </si>
  <si>
    <t>H13:Q13          H31:Q31</t>
  </si>
  <si>
    <t>Employee Cost and other operating expenses are forecast as a percentage of Revenue from Operations using the historical average ratio. The average historical cost-to-revenue ratio is applied consistently throughout the forecast period.</t>
  </si>
  <si>
    <t>H34:Q34</t>
  </si>
  <si>
    <t>Finance Cost is forecast as a percentage of period-end Lease Liabilities. The historical Finance Cost-to-Lease Liabilities ratio is calculated for the past five years, and the average historical ratio of approximately 4% is applied throughout the forecast period.</t>
  </si>
  <si>
    <t>H37:Q37</t>
  </si>
  <si>
    <t>The Effective Tax Rate is forecast based on the historical tax rate, with an annual increase of 0.3 percentage points from FY2027 onwards. The FY2027 tax rate is derived by adding 0.3% to the FY2026 rate, and the same incremental approach is followed throughout the forecast period.</t>
  </si>
  <si>
    <t>H173:Q173</t>
  </si>
  <si>
    <t>Figures of the year 2025 are used to forecast the additions, disposals and depreciation of Fixed assets, Intangibles and ROU assets  with 4% growth rate for the 1st projected year and  for every 3 years.</t>
  </si>
  <si>
    <t>H165:Q165</t>
  </si>
  <si>
    <t>Capital WIP for FY2027 is based on the average historical increase in Capital WIP. From FY2028 onwards, the annual increase in Capital WIP is grown by 0.5% each year.</t>
  </si>
  <si>
    <t>BS Items</t>
  </si>
  <si>
    <t>I13:R13              I54:R54</t>
  </si>
  <si>
    <t>Balance Sheet line items are forecast as a percentage of Revenue from Operations using their respective five-year historical average ratios.</t>
  </si>
  <si>
    <t>H11:Q11            H12:Q12</t>
  </si>
  <si>
    <t>Trade Receivables and Trade Payables are projected as a fixed percentage of revenue, based on the average proportions observed over the last five audited years.</t>
  </si>
  <si>
    <t>H53:Q53</t>
  </si>
  <si>
    <t>Total Dividend payments have been projected based on the five-year average of Dividend Payout as percentage of net profit. This average growth rate has been applied to estimate future dividends, and it is assumed to remain constant throughout the forecast period (2027–2036).</t>
  </si>
  <si>
    <t>H33:Q33</t>
  </si>
  <si>
    <t>Cash and Cash equivalents are taken as the Balancing Figure</t>
  </si>
  <si>
    <t>(INR in Crores)</t>
  </si>
  <si>
    <t>Audited</t>
  </si>
  <si>
    <t>Revenue from Operations</t>
  </si>
  <si>
    <t>Other Income, net</t>
  </si>
  <si>
    <t>Total Income</t>
  </si>
  <si>
    <t>Expenses</t>
  </si>
  <si>
    <t>Employee benefit expenses</t>
  </si>
  <si>
    <t>Cost of technical sub-contractors</t>
  </si>
  <si>
    <t>Travel expenses</t>
  </si>
  <si>
    <t>Cost of software packages and others</t>
  </si>
  <si>
    <t>Communication expenses</t>
  </si>
  <si>
    <t>Consultancy and professional charges</t>
  </si>
  <si>
    <t>Other expenses</t>
  </si>
  <si>
    <t>Total Expenses</t>
  </si>
  <si>
    <t>EBITDA</t>
  </si>
  <si>
    <t>Depreciation and Amortisation Expenses</t>
  </si>
  <si>
    <t>EBIT</t>
  </si>
  <si>
    <t>Finance Costs</t>
  </si>
  <si>
    <t>Profit before exceptional items</t>
  </si>
  <si>
    <t>Exceptional items</t>
  </si>
  <si>
    <t>Profit before Tax</t>
  </si>
  <si>
    <t>Taxes (Current + Deferred)</t>
  </si>
  <si>
    <t>Net Profit</t>
  </si>
  <si>
    <t>KPIs</t>
  </si>
  <si>
    <t>Revenue % (y-o-y)</t>
  </si>
  <si>
    <t>-</t>
  </si>
  <si>
    <t>EBITDA%</t>
  </si>
  <si>
    <t>EBIT %</t>
  </si>
  <si>
    <t>NP %</t>
  </si>
  <si>
    <t>ROA</t>
  </si>
  <si>
    <t>Asset Turnover</t>
  </si>
  <si>
    <t>Assets / Equity</t>
  </si>
  <si>
    <t>ROE</t>
  </si>
  <si>
    <t>Balance Sheet Input</t>
  </si>
  <si>
    <t>ASSETS</t>
  </si>
  <si>
    <t>Non-Current Assets</t>
  </si>
  <si>
    <t>PPE</t>
  </si>
  <si>
    <t>ROU Assets</t>
  </si>
  <si>
    <t>Capital WIP</t>
  </si>
  <si>
    <t>Goodwill</t>
  </si>
  <si>
    <t>Other Intangible assets</t>
  </si>
  <si>
    <t>Financial Assets</t>
  </si>
  <si>
    <t>Investments</t>
  </si>
  <si>
    <t>Loans</t>
  </si>
  <si>
    <t>Other financial assets</t>
  </si>
  <si>
    <t>Deferred Tax Assets(net)</t>
  </si>
  <si>
    <t>Income tax assets (net)</t>
  </si>
  <si>
    <t>Other non-current assets</t>
  </si>
  <si>
    <t>Total Non-current assets</t>
  </si>
  <si>
    <t>Current Assets</t>
  </si>
  <si>
    <t>Trade Receivables</t>
  </si>
  <si>
    <t>Cash &amp; Cash Equivalents</t>
  </si>
  <si>
    <t>Other current assets</t>
  </si>
  <si>
    <t>Total Current Assets</t>
  </si>
  <si>
    <t>TOTAL</t>
  </si>
  <si>
    <t>EQUITY AND LIABILITIES</t>
  </si>
  <si>
    <t>Shareholder Funds</t>
  </si>
  <si>
    <t>Equity Share Capital</t>
  </si>
  <si>
    <t>Other Equity</t>
  </si>
  <si>
    <t>Non-Controlling Interest</t>
  </si>
  <si>
    <t>Total Equity</t>
  </si>
  <si>
    <t>Non-current liabilities</t>
  </si>
  <si>
    <t>Financial Liabilities</t>
  </si>
  <si>
    <t>Lease Liabilities</t>
  </si>
  <si>
    <t>Other financial liabilities</t>
  </si>
  <si>
    <t>Other non current liabilities</t>
  </si>
  <si>
    <t>Deferred Tax Liability(net)</t>
  </si>
  <si>
    <t>Total Non-Current liabilities</t>
  </si>
  <si>
    <t>Current Liabilities</t>
  </si>
  <si>
    <t>Lease liabilities</t>
  </si>
  <si>
    <t>Trade Payables</t>
  </si>
  <si>
    <t>Other Financial liabilities</t>
  </si>
  <si>
    <t>Other current liabilities</t>
  </si>
  <si>
    <t>Provisions</t>
  </si>
  <si>
    <t>Income Tax Liabilities(net)</t>
  </si>
  <si>
    <t>Total Current liabilities</t>
  </si>
  <si>
    <t>Liquidity ratios</t>
  </si>
  <si>
    <t>Current ratio</t>
  </si>
  <si>
    <t>Quick ratio</t>
  </si>
  <si>
    <t>Cash ratio</t>
  </si>
  <si>
    <t>Solvency ratios</t>
  </si>
  <si>
    <t>Interest coverage ratio</t>
  </si>
  <si>
    <t>Cash Flow Input</t>
  </si>
  <si>
    <t>Cash flow from operating activities</t>
  </si>
  <si>
    <t>Profit for the year</t>
  </si>
  <si>
    <t>Adjustments to reconcile net profit to net cash provided by operating activities:</t>
  </si>
  <si>
    <t>– Income tax expense</t>
  </si>
  <si>
    <t>– Depreciation and amortization</t>
  </si>
  <si>
    <t>– Interest and dividend income</t>
  </si>
  <si>
    <t>– Finance cost</t>
  </si>
  <si>
    <t>– Impairment loss recognized / (reversed) under expected credit loss model</t>
  </si>
  <si>
    <t>– Exchange differences on translation of assets and liabilities, net</t>
  </si>
  <si>
    <t>– Stock compensation expense</t>
  </si>
  <si>
    <t>– Interest receivable on income tax refund</t>
  </si>
  <si>
    <t>– Provision for post-sales client support</t>
  </si>
  <si>
    <t>– Other adjustments</t>
  </si>
  <si>
    <t>Changes in assets and liabilities</t>
  </si>
  <si>
    <t>– Trade receivables and unbilled revenue</t>
  </si>
  <si>
    <t>– Loans, other financial assets and other assets</t>
  </si>
  <si>
    <t>– Trade payables</t>
  </si>
  <si>
    <t>– Other financial liabilities, other liabilities and provisions</t>
  </si>
  <si>
    <t>Cash generated from operations</t>
  </si>
  <si>
    <t>– Income taxes paid</t>
  </si>
  <si>
    <t>Net cash generated by operating activities</t>
  </si>
  <si>
    <t>Cash flows from investing activities</t>
  </si>
  <si>
    <t>– Expenditure on property, plant and equipment and intangibles</t>
  </si>
  <si>
    <t>– Deposits placed with corporation</t>
  </si>
  <si>
    <t>– Redemption of deposits placed with corporation</t>
  </si>
  <si>
    <t>– Interest and dividend received</t>
  </si>
  <si>
    <t>– Payment towards acquisition of business, net of cash acquired</t>
  </si>
  <si>
    <t>– Payment of contingent consideration pertaining to acquisition of business</t>
  </si>
  <si>
    <t>– Escrow and other deposits pertaining to buyback</t>
  </si>
  <si>
    <t>– Redemption of escrow and other deposits pertaining to buyback</t>
  </si>
  <si>
    <t>– Other receipts</t>
  </si>
  <si>
    <t>– Other payments</t>
  </si>
  <si>
    <t>Payments to acquire investments:</t>
  </si>
  <si>
    <t>Tax-free bonds and government bonds</t>
  </si>
  <si>
    <t>mutual fund units</t>
  </si>
  <si>
    <t>Target maturity fund</t>
  </si>
  <si>
    <t>Certificates of deposit</t>
  </si>
  <si>
    <t>Commercial paper</t>
  </si>
  <si>
    <t>Non-convertible debentures</t>
  </si>
  <si>
    <t>Government securities</t>
  </si>
  <si>
    <t>Other investments</t>
  </si>
  <si>
    <t>Proceeds on sale of investments:</t>
  </si>
  <si>
    <t>mutual funds units</t>
  </si>
  <si>
    <t>Target maturity funds</t>
  </si>
  <si>
    <t>Equity and preference securities</t>
  </si>
  <si>
    <t>Net cash (used in) / generated from investing activities</t>
  </si>
  <si>
    <t>Cash flows from financing activities</t>
  </si>
  <si>
    <t>– Payment of lease liabilities</t>
  </si>
  <si>
    <t>– Payment of dividends</t>
  </si>
  <si>
    <t>– Loan repayment of in-tech Holding GmbH</t>
  </si>
  <si>
    <t>– Payment of dividend to non-controlling interest of subsidiary</t>
  </si>
  <si>
    <t>– Payment towards purchase of non-controlling interest</t>
  </si>
  <si>
    <t>– Payment towards buyback of shares pertaining to non-controlling interest of subsidiary</t>
  </si>
  <si>
    <t>– Shares issued on exercise of employee stock options</t>
  </si>
  <si>
    <t>– Buyback of equity shares including transaction cost and tax on buyback</t>
  </si>
  <si>
    <t>Net cash used in financing activities</t>
  </si>
  <si>
    <t>Net increase / (decrease) in cash and cash equivalents</t>
  </si>
  <si>
    <t>– Effect of exchange rate changes on cash and cash equivalents</t>
  </si>
  <si>
    <t>– Cash and cash equivalents at the beginning of the period</t>
  </si>
  <si>
    <t>Cash and cash equivalents at the end of the period</t>
  </si>
  <si>
    <t>Other Operating Revenues</t>
  </si>
  <si>
    <t>Employee Benefit Expenses</t>
  </si>
  <si>
    <t>Depreciation &amp; Amortisation</t>
  </si>
  <si>
    <t>Other Income</t>
  </si>
  <si>
    <t>Taxes</t>
  </si>
  <si>
    <t>Deferred Tax Liability</t>
  </si>
  <si>
    <t>Current Tax Liabilities(net)</t>
  </si>
  <si>
    <t>Revenue Buildup</t>
  </si>
  <si>
    <t>Estimated</t>
  </si>
  <si>
    <t>Projected</t>
  </si>
  <si>
    <t>Sale of Service</t>
  </si>
  <si>
    <t>(% on total Revenue)</t>
  </si>
  <si>
    <t>Y-O-Y Growth</t>
  </si>
  <si>
    <t>Exceptional Items</t>
  </si>
  <si>
    <t>Revenue by Geographies</t>
  </si>
  <si>
    <t>North America</t>
  </si>
  <si>
    <t>Europe</t>
  </si>
  <si>
    <t>Rest of the World*</t>
  </si>
  <si>
    <t>IT Sector Growth Projection</t>
  </si>
  <si>
    <t>United Kingdom</t>
  </si>
  <si>
    <t>AMEA</t>
  </si>
  <si>
    <t>Min Growth</t>
  </si>
  <si>
    <t>Revenue Segment By geography</t>
  </si>
  <si>
    <t>Digital &amp; Application Engineering</t>
  </si>
  <si>
    <t>Oracle Cloud &amp; Enterprise Apps</t>
  </si>
  <si>
    <t>Digital Commerce &amp; Experience</t>
  </si>
  <si>
    <t>Data, Automation and AI</t>
  </si>
  <si>
    <t>Revenue by Geography</t>
  </si>
  <si>
    <t>India</t>
  </si>
  <si>
    <t>Cost Build-up</t>
  </si>
  <si>
    <t>Other Expenses</t>
  </si>
  <si>
    <t>(as % of period-end Lease Liabilities)</t>
  </si>
  <si>
    <t>Effective Tax rate</t>
  </si>
  <si>
    <t>Fixed Assets Schedule</t>
  </si>
  <si>
    <t>PPE Assets</t>
  </si>
  <si>
    <t>Buildings</t>
  </si>
  <si>
    <t>Opening Gross Block</t>
  </si>
  <si>
    <t>Additions</t>
  </si>
  <si>
    <t>Forex fluctuations</t>
  </si>
  <si>
    <t>Closing Gross Block</t>
  </si>
  <si>
    <t>Accumulated Depreciation</t>
  </si>
  <si>
    <t>Depreciation for year</t>
  </si>
  <si>
    <t>Net Block</t>
  </si>
  <si>
    <t>Computers</t>
  </si>
  <si>
    <t>Acquired through BC</t>
  </si>
  <si>
    <t>Disposal</t>
  </si>
  <si>
    <t>Plants &amp; Equipment</t>
  </si>
  <si>
    <t>Furniture &amp; Fixtures</t>
  </si>
  <si>
    <t>Vehicles</t>
  </si>
  <si>
    <t>Office Equipment</t>
  </si>
  <si>
    <t>Land - Freehold</t>
  </si>
  <si>
    <t>Leasehold improvements</t>
  </si>
  <si>
    <t>Total PPE - Net block</t>
  </si>
  <si>
    <t>Right-of-use Assets (Total)</t>
  </si>
  <si>
    <t>Total ROU Assets</t>
  </si>
  <si>
    <t>Intangible Assets</t>
  </si>
  <si>
    <t>Computer Software</t>
  </si>
  <si>
    <t>Customer-related Intangibles</t>
  </si>
  <si>
    <t>Brand, IP &amp; Other Intangibles</t>
  </si>
  <si>
    <t>Impairment</t>
  </si>
  <si>
    <t>Total Intangible Assets</t>
  </si>
  <si>
    <t>Total Fixed Assets - Net Block</t>
  </si>
  <si>
    <t>Increase in Fixed Assets</t>
  </si>
  <si>
    <t>Increase in Capital WIP</t>
  </si>
  <si>
    <t>Total Capex</t>
  </si>
  <si>
    <t>(unless otherwise mentioned - % on Revenue)</t>
  </si>
  <si>
    <t>Balance Sheet Items</t>
  </si>
  <si>
    <t>LIABILITIES</t>
  </si>
  <si>
    <t>Provision</t>
  </si>
  <si>
    <t>Other financial and non-financial liabilities</t>
  </si>
  <si>
    <t>Other financial and non-financial assets</t>
  </si>
  <si>
    <t>Net Working Capital</t>
  </si>
  <si>
    <t>net change in working capital</t>
  </si>
  <si>
    <t>Basic EPS</t>
  </si>
  <si>
    <t>Total Dividend Payout</t>
  </si>
  <si>
    <t>(as % on Net Profit)</t>
  </si>
  <si>
    <t>Total Non-current Assets</t>
  </si>
  <si>
    <t>Total Shareholders' Equity</t>
  </si>
  <si>
    <t>Total Non-current Liabilities</t>
  </si>
  <si>
    <t>Total Current Liabilities</t>
  </si>
  <si>
    <t>Interpretation of ratios</t>
  </si>
  <si>
    <t>Trend</t>
  </si>
  <si>
    <t>Profitability Ratios</t>
  </si>
  <si>
    <t>EBITDA Margin</t>
  </si>
  <si>
    <t>Infosys’ operating margin remained relatively stable at around 22–24% during FY22–FY26, indicating consistent operating efficiency despite changes in revenue and cost levels. Over the forecast period (FY27–FY36), the margin is projected to increase and stabilize at around 42–43%, reflecting an assumed improvement in operating efficiency and cost management. This expansion indicates stronger profitability from core operations, supported by better operating leverage and a more controlled cost structure.</t>
  </si>
  <si>
    <t>Operating Margin</t>
  </si>
  <si>
    <t>Infosys’ operating margin remained relatively stable between 22.48% and 24.46% during FY22–FY26, indicating consistent operating profitability despite fluctuations in operating costs. Over the forecast period, the margin is projected to improve gradually from 42.32% to 42.84%, reflecting expectations of better cost control, operating efficiency, and operating leverage. This indicates an improvement in the company’s core operating profitability over the forecast period.</t>
  </si>
  <si>
    <t>Pretax Margin</t>
  </si>
  <si>
    <t>Infosys’ Pretax Margin declined from 24.29% in 2022 to 21.86% in 2026, indicating a gradual moderation in pre-tax profitability during the initial period. The margin, however, remained above 21%, suggesting relatively stable profitability despite the decline. From 2027 onwards, the Pretax Margin is projected to increase sharply to 37.86% and remain broadly stable around 38% through 2036. This projected improvement indicates expectations of stronger earnings before tax relative to revenue, potentially supported by improved operating efficiency, cost control, and better resource utilization. Overall, the forecast reflects a significant improvement in Infosys’ projected pre-tax profitability compared with the earlier years.</t>
  </si>
  <si>
    <t>nfosys’ Effective Tax Rate increased from 26.45% in 2022 to 28.87% in 2025, indicating a higher proportion of pre-tax income being paid as tax during this period. It then declined to 26.31% in 2026, suggesting some moderation in the tax burden. From 2027 onwards, the rate is projected to increase gradually from 26.61% to 29.31% by 2036. This indicates an expected gradual rise in the effective tax burden over the forecast period. A higher effective tax rate can reduce the proportion of pre-tax earnings retained as net profit, making tax management an important factor in future profitability.</t>
  </si>
  <si>
    <t>Net Margin</t>
  </si>
  <si>
    <t>Infosys’ Net Margin declined from 17.87% in 2022 to 16.06% in 2025, indicating a gradual reduction in the proportion of revenue converted into net profit. It improved slightly to 16.11% in 2026, suggesting some stabilization in profitability. From 2027 onwards, the Net Margin is projected to rise significantly to 27.79%, remaining broadly stable before gradually declining to 27.13% by 2036. This projected improvement indicates expectations of stronger net profitability and better cost efficiency. However, the substantial increase between 2026 and 2027 should be assessed against the assumptions underlying the forecast.</t>
  </si>
  <si>
    <t>DuPont/Earning Power</t>
  </si>
  <si>
    <t>Infosys’ Asset Turnover ratio was 122.67% in 2022 and declined to 116.21% in 2024, before improving slightly to 120.03% in 2025. It then decreased to 117.16% in 2026, indicating some moderation in the efficiency of asset utilization. From 2027 onwards, the ratio is projected to decline consistently, reaching 73.26% by 2036. This downward trend suggests that revenue generated per unit of assets is expected to decrease over the forecast period, indicating relatively lower asset utilization efficiency. The trend may reflect growth in the asset base occurring faster than revenue growth, making efficient utilization of assets important for maintaining operational performance.</t>
  </si>
  <si>
    <t>Pre tax ROA</t>
  </si>
  <si>
    <t>Infosys’ Pre-tax ROA remained relatively stable during the historical period, declining slightly from 27.35% in 2022 to 26.23% in 2024, before recovering marginally to 26.24% in 2025. This indicates that the company maintained a relatively consistent ability to generate pre-tax earnings from its asset base. In 2026, the ratio is projected to rise significantly to 44.36%, indicating a substantial improvement in asset profitability. However, from 2027 onwards, Pre-tax ROA is projected to decline gradually, reaching 28.12% by 2036. Despite this decline, the forecast remains above historical levels, suggesting stronger projected returns from asset utilization.</t>
  </si>
  <si>
    <t>Pre Tax ROE</t>
  </si>
  <si>
    <t>Infosys’ Pre-tax ROE declined from 43.98% in 2022 to 40.73% in 2024, before improving to 42.21% in 2025. This indicates some fluctuation in the company’s ability to generate pre-tax returns from shareholders’ equity, while remaining at a relatively strong level. In 2026, the ratio is projected to increase significantly to 72.05%. Thereafter, Pre-tax ROE is expected to decline gradually, reaching 37.15% by 2036. Despite this projected decline, the ratio remains above the historical level for most of the forecast period, indicating expectations of stronger pre-tax returns on shareholders’ equity compared with the earlier years.</t>
  </si>
  <si>
    <t>Tax Complement</t>
  </si>
  <si>
    <t>Infosys’ Tax Complement remained relatively stable during the historical period, ranging between 0.71 and 0.74. It declined from 0.74 in 2022 to 0.71 in 2025, before improving slightly to 0.74 in 2026. From 2027 onwards, the Tax Complement is projected to gradually decline from 0.73 to 0.71 by 2036. Overall, the limited movement indicates a relatively stable relationship between after-tax and pre-tax earnings. The gradual decline in the forecast period is consistent with the projected increase in the effective tax rate, suggesting that a slightly larger portion of pre-tax earnings may be absorbed by taxes over time.</t>
  </si>
  <si>
    <t>Infosys’ ROE increased slightly from 31.82% in 2022 to 31.96% in 2023, before declining to 28.97% in 2024 and recovering to 31.11% in 2025. This indicates some fluctuation in the company’s ability to generate returns from shareholders’ equity. In 2026, ROE is projected to rise significantly to 52.88%. Thereafter, it is expected to decline gradually, reaching 26.27% by 2036. Despite the projected decline, ROE remains relatively strong compared with the historical period for much of the forecast horizon, indicating higher projected returns on shareholders’ equity.</t>
  </si>
  <si>
    <t>Equity Retention</t>
  </si>
  <si>
    <t>Infosys’ Equity Retention ratio remained stable at 0.41 in 2022 and 2023, before declining to 0.27 in 2024. It then recovered to 0.33 in 2025 and 2026, indicating an improvement in the proportion of earnings retained within the business. From 2027 onwards, the ratio is projected to remain constant at approximately 0.35 through 2036. This suggests that Infosys is expected to retain around 35% of its earnings for reinvestment and future growth, while the remaining portion may be distributed to shareholders or used for other purposes. Overall, the forecast indicates a stable equity retention policy.</t>
  </si>
  <si>
    <t>Reinvestment Rate</t>
  </si>
  <si>
    <t>Infosys’ Reinvestment Rate was negative at -16.86% in 2022 and declined further to -25.33% in 2023, indicating that the company was not generating positive reinvestment during these years. It improved significantly to 2.82% in 2024, although it declined to -6.93% in 2025. In 2026, the rate turned positive at 2.23%. From 2027 onwards, it is projected to increase to 5.12%, before gradually declining to 2.03% by 2036. This suggests a shift toward positive reinvestment, with Infosys expected to allocate a modest portion of earnings toward future growth and business expansion.</t>
  </si>
  <si>
    <t>Liquidity Ratio</t>
  </si>
  <si>
    <t>Infosys’ Current Ratio stood at 2.00 in 2022 and declined to 1.81 in 2023, before improving to 2.31 in 2024 and 2.27 in 2025. It moderated to 1.98 in 2026, but remained comfortably above the 1.2 benchmark, indicating adequate short-term liquidity. From 2027 onwards, the ratio is projected to increase steadily from 2.17 to 4.22 by 2036. This indicates a significant strengthening in the company’s projected ability to meet its short-term obligations through current assets. Overall, the forecast suggests improving liquidity and a stronger short-term financial position over the projection period.</t>
  </si>
  <si>
    <t>Infosys’ Quick Ratio declined from 1.20 in 2022 to 0.96 in 2023, indicating a temporary weakening in its ability to meet short-term liabilities using its most liquid assets. It improved to 1.30 in 2025, although it moderated to 1.10 in 2026. From 2027 onwards, the ratio is projected to increase steadily from 1.24 to 3.30 by 2036. This indicates a significant improvement in the company’s immediate liquidity position, with quick assets increasingly providing stronger coverage of current liabilities. Overall, the forecast suggests improving short-term financial flexibility and a stronger capacity to meet obligations without relying on inventory.</t>
  </si>
  <si>
    <t>Cash Ratio</t>
  </si>
  <si>
    <t>Infosys’ Cash Ratio declined from 0.52 in 2022 to 0.31 in 2023, indicating a temporary weakening in its ability to meet current liabilities using only cash and cash equivalents. It subsequently improved to 0.57 in 2025, before moderating to 0.42 in 2026. From 2027 onwards, the Cash Ratio is projected to rise steadily from 0.56 to 2.62 by 2036. This indicates a significant improvement in the company’s cash-based liquidity position. The projected increase suggests that Infosys is expected to maintain a growing level of cash relative to its short-term obligations, providing greater liquidity and financial flexibility over the forecast period.</t>
  </si>
  <si>
    <t>Leverage</t>
  </si>
  <si>
    <t>Asset/Equity</t>
  </si>
  <si>
    <t>Infosys’ Asset/Equity ratio increased from 1.56 in 2022 to 1.66 in 2023, indicating a temporary rise in financial leverage. It then declined gradually to 1.55 in 2025, before increasing slightly to 1.67 in 2026. From 2027 onwards, the ratio is projected to decline consistently from 1.58 to 1.31 by 2036. This downward trend indicates a gradual reduction in the proportion of assets supported by each unit of shareholders’ equity, suggesting lower financial leverage over the forecast period. Overall, the projections indicate a gradual strengthening of the equity base relative to total assets and reduced dependence on leverage.</t>
  </si>
  <si>
    <t>Debt/Equity</t>
  </si>
  <si>
    <t>Infosys’ Debt/Equity ratio increased from 0.07 in 2022 to 0.11 in 2023, indicating a temporary increase in debt relative to shareholders’ equity. It then declined to 0.09 in 2024 and 2025, before increasing marginally to 0.10 in 2026. From 2027 onwards, the ratio is projected to decrease steadily from 0.09 to 0.05 by 2036. This indicates a gradual reduction in financial leverage and dependence on debt financing. The consistently low Debt/Equity ratio also indicates that the company’s equity base is substantially higher relative to its debt, while the forecast trend suggests a progressively stronger capital structure with lower debt exposure.</t>
  </si>
  <si>
    <t>Operating</t>
  </si>
  <si>
    <t>A/R Turnover</t>
  </si>
  <si>
    <t>Infosys’ A/R Turnover ratio is projected to remain relatively stable during the forecast period, increasing from 5.06 in 2027 to 5.28 in 2028 before gradually moderating to 5.01 in 2029 and 4.91 in 2030. The ratio is expected to recover slightly to 5.03 by 2036. Overall, the relatively stable trend suggests consistent receivables management throughout the forecast period, with no significant improvement or deterioration in the efficiency of converting accounts receivable into revenue.</t>
  </si>
  <si>
    <t>A/P Turnover</t>
  </si>
  <si>
    <t>Infosys’ A/P Turnover increased from 30.41x in 2022 to 37.85x in 2024, indicating faster turnover of trade payables and a shorter implied payment cycle during the historical period. The ratio then moderated to 36.59x in 2025 and 35.61x in 2026, suggesting some normalization in the pace of payable settlement. Over the forecast period, A/P Turnover is projected to remain broadly stable, ranging from 33.24x in 2027 to 34.40x by 2036. This relative stability indicates that trade payables are expected to remain broadly aligned with the company’s revenue base. Overall, the projected trend suggests a consistent approach to managing supplier obligations, with no significant change expected in the company’s payable-management pattern.</t>
  </si>
  <si>
    <t>Fixed Asset Turnover</t>
  </si>
  <si>
    <t>Infosys’ Fixed Asset Turnover ratio increased consistently from 7.19 in 2022 to 8.87 in 2026, indicating improving efficiency in generating revenue from its fixed asset base. From 2027 onwards, the ratio is projected to continue rising, reaching 11.11 by 2034, before slightly declining to 11.04 in 2035. This upward trend suggests that Infosys is expected to generate progressively higher revenue for each unit invested in fixed assets. The improvement indicates better utilization of fixed assets and increasing operational efficiency over the forecast period. The slight decline in the final year suggests a marginal moderation in asset utilization efficiency.</t>
  </si>
  <si>
    <t>ROIC</t>
  </si>
  <si>
    <t>Infosys’ ROIC is projected to increase from 62.88% in 2027 to 70.09% by 2036, indicating a sustained improvement in the company’s expected returns relative to its invested capital. The projected ROIC exceeds 66% by 2029 and approaches 70% toward the end of the forecast period, suggesting strong expected capital efficiency and the potential to generate attractive returns on invested capital. From a valuation perspective, the sustainability of these elevated returns will depend on Infosys’ ability to maintain operating profitability, manage reinvestment requirements efficiently, and deploy incremental capital at attractive rates of return. Overall, the forecast indicates strengthening capital efficiency; however, these projections should be evaluated against historical performance, industry conditions, and the long-term assumptions underlying the financial model.</t>
  </si>
  <si>
    <t>Cash Flow Statement</t>
  </si>
  <si>
    <t>Cashflows from Operating activities</t>
  </si>
  <si>
    <t>Profit before tax</t>
  </si>
  <si>
    <t>Add:</t>
  </si>
  <si>
    <t>Finance costs</t>
  </si>
  <si>
    <t>Increase/(decrease) in Current Liabilities</t>
  </si>
  <si>
    <t>Less:</t>
  </si>
  <si>
    <t>Taxes paid</t>
  </si>
  <si>
    <t>Other non-cash adjustments</t>
  </si>
  <si>
    <t>Increase/(decrease) in Current Assets</t>
  </si>
  <si>
    <t>Net Cash generated from/(used in) Operating Activities (A)</t>
  </si>
  <si>
    <t>Cashflows from Investing activities</t>
  </si>
  <si>
    <t>Capital Expenditure on PPE, ROU &amp; Intangibles</t>
  </si>
  <si>
    <t>Increase/(decrease) in Non- Current Assets</t>
  </si>
  <si>
    <t>Net Cash generated from/(used in) Investing Activities (B)</t>
  </si>
  <si>
    <t>Cashflows from Financing activities</t>
  </si>
  <si>
    <t>Increase in non-current liabilities</t>
  </si>
  <si>
    <t>Other Financial Assets</t>
  </si>
  <si>
    <t>Changes in other equity</t>
  </si>
  <si>
    <t>Changes in NCI</t>
  </si>
  <si>
    <t>Issue of Equity shares</t>
  </si>
  <si>
    <t>Interest paid</t>
  </si>
  <si>
    <t>Net Cash generated from/(used in) Financing Activities (C)</t>
  </si>
  <si>
    <t>Effect of exchange rate changes on cash</t>
  </si>
  <si>
    <t>Net Cashflows during the year</t>
  </si>
  <si>
    <t>Opening Cash &amp; Cash equivalents</t>
  </si>
  <si>
    <t>Closing Cash &amp; Cash equivalents</t>
  </si>
  <si>
    <t>Working Capital Reconciliation (per Balance Sheet movements used above)</t>
  </si>
  <si>
    <t>Other financial and non-financial liabilities (Current)</t>
  </si>
  <si>
    <t>Other financial and non-financial liabilities (Non-current)</t>
  </si>
  <si>
    <t>Other financial assets, excl. Loans (Current)</t>
  </si>
  <si>
    <t>Other current assets, excl. Income tax assets (Current)</t>
  </si>
  <si>
    <t>Other financial assets, excl. Loans (Non-current)</t>
  </si>
  <si>
    <t>Net Change in Working Capital (per Cash Flow Statement)</t>
  </si>
  <si>
    <t>Valuation Summary - Football Field</t>
  </si>
  <si>
    <t>Market</t>
  </si>
  <si>
    <t>Comps</t>
  </si>
  <si>
    <t>DCF</t>
  </si>
  <si>
    <t>52-week hi/lo</t>
  </si>
  <si>
    <t>Consensus</t>
  </si>
  <si>
    <t>High</t>
  </si>
  <si>
    <t>Low</t>
  </si>
  <si>
    <t>Valuation Summary</t>
  </si>
  <si>
    <t>Broker Analysis</t>
  </si>
  <si>
    <t>Date</t>
  </si>
  <si>
    <t>LTP</t>
  </si>
  <si>
    <t>Target Price</t>
  </si>
  <si>
    <t>ICICI Securities</t>
  </si>
  <si>
    <t>Axis Securities</t>
  </si>
  <si>
    <t>Sharekhan</t>
  </si>
  <si>
    <t>Geojit BNP Paribas</t>
  </si>
  <si>
    <t>Motilal Oswal</t>
  </si>
  <si>
    <t>Revenue</t>
  </si>
  <si>
    <t>YoY Growth %</t>
  </si>
  <si>
    <t>Employee Benefit Expense</t>
  </si>
  <si>
    <t>Operating Expenses</t>
  </si>
  <si>
    <t>Depreciation &amp; Amort</t>
  </si>
  <si>
    <t>Finance Cost</t>
  </si>
  <si>
    <t>PBT</t>
  </si>
  <si>
    <t>Tax expense</t>
  </si>
  <si>
    <t>Profit(Loss) for the period</t>
  </si>
  <si>
    <t>Net Profit margin</t>
  </si>
  <si>
    <t>EPS (Rs)</t>
  </si>
  <si>
    <t>Change %</t>
  </si>
  <si>
    <t>Nifty 50</t>
  </si>
  <si>
    <t>Min</t>
  </si>
  <si>
    <t>Max</t>
  </si>
  <si>
    <t>Covariance</t>
  </si>
  <si>
    <t>Variance</t>
  </si>
  <si>
    <t>Beta</t>
  </si>
  <si>
    <t>Index</t>
  </si>
  <si>
    <t>NIFTY 50</t>
  </si>
  <si>
    <t>Yearfrac</t>
  </si>
  <si>
    <t>Market Return</t>
  </si>
  <si>
    <t>Company</t>
  </si>
  <si>
    <t>Ticker</t>
  </si>
  <si>
    <t>Price</t>
  </si>
  <si>
    <t>Shares</t>
  </si>
  <si>
    <t>Debt</t>
  </si>
  <si>
    <t>Cash</t>
  </si>
  <si>
    <t>Sales</t>
  </si>
  <si>
    <t>Net Income</t>
  </si>
  <si>
    <t>Tax %</t>
  </si>
  <si>
    <t>Infosys</t>
  </si>
  <si>
    <t>INFOSYS</t>
  </si>
  <si>
    <t>TCS</t>
  </si>
  <si>
    <t>HCL Tech</t>
  </si>
  <si>
    <t>HCLTECH</t>
  </si>
  <si>
    <t>Wipro</t>
  </si>
  <si>
    <t>WIPRO</t>
  </si>
  <si>
    <t>LTIMindtree</t>
  </si>
  <si>
    <t>LTIM</t>
  </si>
  <si>
    <t>Tech Mahindra</t>
  </si>
  <si>
    <t>TECHM</t>
  </si>
  <si>
    <t>Persistent Systems</t>
  </si>
  <si>
    <t>PERSISTENT</t>
  </si>
  <si>
    <t>Source: Screener</t>
  </si>
  <si>
    <t>Comparable Valuation</t>
  </si>
  <si>
    <t>Financial Data</t>
  </si>
  <si>
    <t>Valuation Data</t>
  </si>
  <si>
    <t>Company Name</t>
  </si>
  <si>
    <t>CMP</t>
  </si>
  <si>
    <t>Market Cap</t>
  </si>
  <si>
    <t>EV</t>
  </si>
  <si>
    <t>Earnings</t>
  </si>
  <si>
    <t>EV/Sales</t>
  </si>
  <si>
    <t>EV/EBITDA</t>
  </si>
  <si>
    <t>P/E</t>
  </si>
  <si>
    <t>Cr</t>
  </si>
  <si>
    <t>₹ Cr</t>
  </si>
  <si>
    <t>&amp; Equivalents</t>
  </si>
  <si>
    <t>x</t>
  </si>
  <si>
    <t>Average</t>
  </si>
  <si>
    <t>Median</t>
  </si>
  <si>
    <t>Metric</t>
  </si>
  <si>
    <t>Net Debt</t>
  </si>
  <si>
    <t>Equity Value</t>
  </si>
  <si>
    <t>Share Price</t>
  </si>
  <si>
    <t>EV/Revenue</t>
  </si>
  <si>
    <t>Unlevered FCFF</t>
  </si>
  <si>
    <t>Less: Tax on EBIT</t>
  </si>
  <si>
    <t>Add: Depreciation &amp; Amortisation</t>
  </si>
  <si>
    <t>Less: Capex</t>
  </si>
  <si>
    <t>Change in working capital</t>
  </si>
  <si>
    <t>Cost of Equity</t>
  </si>
  <si>
    <t>Risk-free rate (Rf)</t>
  </si>
  <si>
    <t>Market return (Rm)</t>
  </si>
  <si>
    <t>Equity Risk Premium (Rm-Rf)</t>
  </si>
  <si>
    <t>Cost of Equity (CAPM)</t>
  </si>
  <si>
    <t>Discount rate (WACC)</t>
  </si>
  <si>
    <t>Cost</t>
  </si>
  <si>
    <t>Weightage</t>
  </si>
  <si>
    <t>WACC</t>
  </si>
  <si>
    <t>Equity</t>
  </si>
  <si>
    <t>Debt (after tax)</t>
  </si>
  <si>
    <t>Equity value</t>
  </si>
  <si>
    <t>Debt Value</t>
  </si>
  <si>
    <t>Market value</t>
  </si>
  <si>
    <t>Terminal value</t>
  </si>
  <si>
    <t>Intrinsic value</t>
  </si>
  <si>
    <t>Sum of PV of cashflows</t>
  </si>
  <si>
    <t>PV of Terminal value</t>
  </si>
  <si>
    <t>Enterprise value</t>
  </si>
  <si>
    <t>Add: Cash &amp; Cash Equivalents</t>
  </si>
  <si>
    <t>Less: Debt</t>
  </si>
  <si>
    <t>Less: Non-controlling interest</t>
  </si>
  <si>
    <t>Less: Preferred stock</t>
  </si>
  <si>
    <t>Sensitivity Analysis</t>
  </si>
  <si>
    <t>Discount Rate</t>
  </si>
  <si>
    <t>No of shares outstanding</t>
  </si>
  <si>
    <t>Intrinsic value per share</t>
  </si>
  <si>
    <t>Terminal Growth Rate</t>
  </si>
  <si>
    <t>Current Market price</t>
  </si>
  <si>
    <t>Upside/downside potential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</si>
</sst>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31">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_ * #,##0.00_ ;_ * \-#,##0.00_ ;_ * \-??_ ;_ @_ "/>
    <numFmt numFmtId="177" formatCode="_(* #,##0.00_);_(* \(#,##0.00\);_(* \-??_);_(@_)"/>
    <numFmt numFmtId="178" formatCode="_ * #,##0.000000_ ;_ * \-#,##0.000000_ ;_ * \-??_ ;_ @_ "/>
    <numFmt numFmtId="179" formatCode="0.0%"/>
    <numFmt numFmtId="180" formatCode="0.000%"/>
    <numFmt numFmtId="181" formatCode="_ * #,##0_ ;_ * \-#,##0_ ;_ * \-??_ ;_ @_ "/>
    <numFmt numFmtId="182" formatCode=";;;"/>
    <numFmt numFmtId="183" formatCode="#,##0;\(#,##0\);\-"/>
    <numFmt numFmtId="184" formatCode="&quot;₹&quot;#,##0.00"/>
    <numFmt numFmtId="185" formatCode="&quot;₹&quot;#,##0"/>
    <numFmt numFmtId="186" formatCode="0.0\x"/>
    <numFmt numFmtId="187" formatCode="_-* #,##0_-;\-* #,##0_-;_-* \-??_-;_-@_-"/>
    <numFmt numFmtId="188" formatCode="&quot;₹&quot;#,##0_);[Red]&quot;(₹&quot;#,##0\)"/>
    <numFmt numFmtId="189" formatCode="#,##0.0;[Red]#,##0.0"/>
    <numFmt numFmtId="190" formatCode="0.0"/>
    <numFmt numFmtId="191" formatCode="dd/mm/yyyy"/>
    <numFmt numFmtId="192" formatCode="mmm\ dd&quot;, &quot;yyyy"/>
    <numFmt numFmtId="193" formatCode="#,##0.0"/>
    <numFmt numFmtId="194" formatCode="0.000000"/>
    <numFmt numFmtId="195" formatCode="0.00_ "/>
    <numFmt numFmtId="196" formatCode="0.0%;\(0.0%\);\-"/>
    <numFmt numFmtId="197" formatCode="0_ "/>
    <numFmt numFmtId="198" formatCode="_(* #,##0_);_(* \(#,##0\);_(* \-??_);_(@_)"/>
    <numFmt numFmtId="199" formatCode="0.00_);[Red]\(0.00\)"/>
    <numFmt numFmtId="200" formatCode="0.000000%"/>
    <numFmt numFmtId="201" formatCode="#,##0;\(#,##0\)"/>
    <numFmt numFmtId="202" formatCode="_ * #,##0.00_ ;_ * \-#,##0.00_ ;_ * \-??.00_ ;_ @_ "/>
  </numFmts>
  <fonts count="136">
    <font>
      <sz val="11"/>
      <color theme="1"/>
      <name val="Calibri"/>
      <charset val="134"/>
    </font>
    <font>
      <b/>
      <sz val="11"/>
      <color theme="1"/>
      <name val="Cambria"/>
      <charset val="134"/>
    </font>
    <font>
      <sz val="11"/>
      <color theme="1"/>
      <name val="Cambria"/>
      <charset val="134"/>
    </font>
    <font>
      <sz val="28"/>
      <color theme="0"/>
      <name val="Cambria"/>
      <charset val="134"/>
    </font>
    <font>
      <i/>
      <sz val="11"/>
      <color theme="1"/>
      <name val="Cambria"/>
      <charset val="134"/>
    </font>
    <font>
      <b/>
      <sz val="12"/>
      <color theme="0"/>
      <name val="Cambria"/>
      <charset val="134"/>
    </font>
    <font>
      <b/>
      <sz val="11"/>
      <color theme="0"/>
      <name val="Cambria"/>
      <charset val="134"/>
    </font>
    <font>
      <b/>
      <u/>
      <sz val="11"/>
      <color theme="1"/>
      <name val="Cambria"/>
      <charset val="134"/>
    </font>
    <font>
      <sz val="10"/>
      <name val="Cambria"/>
      <charset val="134"/>
    </font>
    <font>
      <b/>
      <i/>
      <sz val="11"/>
      <color theme="1"/>
      <name val="Cambria"/>
      <charset val="134"/>
    </font>
    <font>
      <sz val="11"/>
      <color rgb="FF0070C0"/>
      <name val="Cambria"/>
      <charset val="134"/>
    </font>
    <font>
      <sz val="12"/>
      <color theme="1"/>
      <name val="Book Antiqua"/>
      <charset val="134"/>
    </font>
    <font>
      <b/>
      <sz val="12"/>
      <color theme="0"/>
      <name val="Book Antiqua"/>
      <charset val="134"/>
    </font>
    <font>
      <sz val="11"/>
      <color theme="1"/>
      <name val="Book Antiqua"/>
      <charset val="134"/>
    </font>
    <font>
      <b/>
      <sz val="25"/>
      <color theme="0"/>
      <name val="Book Antiqua"/>
      <charset val="134"/>
    </font>
    <font>
      <b/>
      <sz val="11"/>
      <color theme="0"/>
      <name val="Book Antiqua"/>
      <charset val="134"/>
    </font>
    <font>
      <sz val="11"/>
      <color theme="0"/>
      <name val="Book Antiqua"/>
      <charset val="134"/>
    </font>
    <font>
      <sz val="11"/>
      <color theme="4" tint="-0.5"/>
      <name val="Cambria"/>
      <charset val="134"/>
    </font>
    <font>
      <sz val="12"/>
      <color theme="4" tint="-0.5"/>
      <name val="Book Antiqua"/>
      <charset val="134"/>
    </font>
    <font>
      <sz val="12"/>
      <color rgb="FF101113"/>
      <name val="Book Antiqua"/>
      <charset val="134"/>
    </font>
    <font>
      <sz val="12"/>
      <color rgb="FF0432FF"/>
      <name val="Book Antiqua"/>
      <charset val="134"/>
    </font>
    <font>
      <sz val="12"/>
      <color rgb="FF0000FF"/>
      <name val="Book Antiqua"/>
      <charset val="134"/>
    </font>
    <font>
      <sz val="12"/>
      <color rgb="FFFF0000"/>
      <name val="Book Antiqua"/>
      <charset val="134"/>
    </font>
    <font>
      <sz val="11"/>
      <color rgb="FF0432FF"/>
      <name val="Book Antiqua"/>
      <charset val="134"/>
    </font>
    <font>
      <i/>
      <u/>
      <sz val="11"/>
      <color rgb="FFFF0000"/>
      <name val="Cambria"/>
      <charset val="134"/>
    </font>
    <font>
      <sz val="12"/>
      <color rgb="FF000000"/>
      <name val="Calibri"/>
      <charset val="134"/>
    </font>
    <font>
      <sz val="11"/>
      <name val="Book Antiqua"/>
      <charset val="134"/>
    </font>
    <font>
      <b/>
      <sz val="11"/>
      <name val="Book Antiqua"/>
      <charset val="134"/>
    </font>
    <font>
      <sz val="12"/>
      <name val="Book Antiqua"/>
      <charset val="134"/>
    </font>
    <font>
      <sz val="36"/>
      <color theme="0"/>
      <name val="Calibri"/>
      <charset val="134"/>
    </font>
    <font>
      <b/>
      <sz val="10"/>
      <color theme="0"/>
      <name val="Calibri"/>
      <charset val="134"/>
    </font>
    <font>
      <sz val="10"/>
      <color rgb="FF000000"/>
      <name val="Calibri"/>
      <charset val="134"/>
    </font>
    <font>
      <sz val="10"/>
      <color theme="1"/>
      <name val="Calibri"/>
      <charset val="134"/>
    </font>
    <font>
      <b/>
      <sz val="11"/>
      <color theme="1"/>
      <name val="Calibri"/>
      <charset val="134"/>
    </font>
    <font>
      <sz val="11"/>
      <color theme="0"/>
      <name val="Calibri"/>
      <charset val="134"/>
    </font>
    <font>
      <sz val="11"/>
      <color rgb="FF007C32"/>
      <name val="Calibri"/>
      <charset val="134"/>
    </font>
    <font>
      <sz val="11"/>
      <color rgb="FF232526"/>
      <name val="Calibri"/>
      <charset val="134"/>
    </font>
    <font>
      <b/>
      <sz val="11"/>
      <color rgb="FF007C32"/>
      <name val="Calibri"/>
      <charset val="134"/>
    </font>
    <font>
      <sz val="11"/>
      <color theme="1"/>
      <name val="Calibri"/>
      <charset val="134"/>
      <scheme val="minor"/>
    </font>
    <font>
      <b/>
      <sz val="11"/>
      <color rgb="FFD91400"/>
      <name val="Calibri"/>
      <charset val="134"/>
    </font>
    <font>
      <sz val="10"/>
      <color theme="0"/>
      <name val="Calibri"/>
      <charset val="134"/>
    </font>
    <font>
      <b/>
      <sz val="10"/>
      <color theme="1"/>
      <name val="Calibri"/>
      <charset val="134"/>
    </font>
    <font>
      <sz val="10"/>
      <color rgb="FF0EA600"/>
      <name val="Calibri"/>
      <charset val="134"/>
    </font>
    <font>
      <sz val="16"/>
      <color theme="1"/>
      <name val="Calibri"/>
      <charset val="134"/>
    </font>
    <font>
      <sz val="18"/>
      <color rgb="FF007C32"/>
      <name val="Calibri"/>
      <charset val="134"/>
    </font>
    <font>
      <sz val="11"/>
      <color rgb="FFD91400"/>
      <name val="Calibri"/>
      <charset val="134"/>
    </font>
    <font>
      <sz val="10"/>
      <name val="Calibri"/>
      <charset val="134"/>
    </font>
    <font>
      <i/>
      <sz val="11"/>
      <color theme="1"/>
      <name val="Calibri"/>
      <charset val="134"/>
    </font>
    <font>
      <sz val="11"/>
      <name val="Arial"/>
      <charset val="1"/>
    </font>
    <font>
      <sz val="11"/>
      <color rgb="FF0000FF"/>
      <name val="Arial"/>
      <charset val="1"/>
    </font>
    <font>
      <i/>
      <sz val="10"/>
      <name val="Arial"/>
      <charset val="1"/>
    </font>
    <font>
      <i/>
      <sz val="10"/>
      <color rgb="FF808080"/>
      <name val="Arial"/>
      <charset val="1"/>
    </font>
    <font>
      <sz val="11"/>
      <color rgb="FF000000"/>
      <name val="Arial"/>
      <charset val="1"/>
    </font>
    <font>
      <b/>
      <sz val="11"/>
      <name val="Arial"/>
      <charset val="1"/>
    </font>
    <font>
      <b/>
      <sz val="11"/>
      <color rgb="FF000000"/>
      <name val="Arial"/>
      <charset val="1"/>
    </font>
    <font>
      <sz val="28"/>
      <color theme="0"/>
      <name val="Calibri"/>
      <charset val="134"/>
    </font>
    <font>
      <i/>
      <sz val="12"/>
      <color theme="0"/>
      <name val="Calibri"/>
      <charset val="134"/>
    </font>
    <font>
      <b/>
      <sz val="20"/>
      <color theme="0"/>
      <name val="Calibri"/>
      <charset val="134"/>
    </font>
    <font>
      <b/>
      <sz val="12"/>
      <color theme="1"/>
      <name val="Book Antiqua"/>
      <charset val="134"/>
    </font>
    <font>
      <b/>
      <sz val="11"/>
      <color theme="1"/>
      <name val="Book Antiqua"/>
      <charset val="134"/>
    </font>
    <font>
      <b/>
      <sz val="14"/>
      <color theme="0"/>
      <name val="Calibri"/>
      <charset val="134"/>
    </font>
    <font>
      <b/>
      <sz val="18"/>
      <color theme="0"/>
      <name val="Calibri"/>
      <charset val="134"/>
    </font>
    <font>
      <sz val="14"/>
      <color theme="1"/>
      <name val="Calibri"/>
      <charset val="134"/>
    </font>
    <font>
      <sz val="26"/>
      <color theme="1"/>
      <name val="Cambria"/>
      <charset val="134"/>
    </font>
    <font>
      <b/>
      <u/>
      <sz val="11"/>
      <color rgb="FF00B050"/>
      <name val="Cambria"/>
      <charset val="134"/>
    </font>
    <font>
      <b/>
      <u/>
      <sz val="11"/>
      <color rgb="FFFF0000"/>
      <name val="Cambria"/>
      <charset val="134"/>
    </font>
    <font>
      <b/>
      <sz val="11"/>
      <name val="Cambria"/>
      <charset val="1"/>
    </font>
    <font>
      <sz val="11"/>
      <name val="Cambria"/>
      <charset val="134"/>
    </font>
    <font>
      <sz val="11"/>
      <color rgb="FF0070C0"/>
      <name val="Cambria"/>
      <charset val="1"/>
    </font>
    <font>
      <b/>
      <sz val="11"/>
      <color rgb="FFCC3300"/>
      <name val="Cambria"/>
      <charset val="134"/>
    </font>
    <font>
      <u/>
      <sz val="11"/>
      <color theme="1"/>
      <name val="Cambria"/>
      <charset val="134"/>
    </font>
    <font>
      <b/>
      <sz val="11"/>
      <color rgb="FF0070C0"/>
      <name val="Cambria"/>
      <charset val="134"/>
    </font>
    <font>
      <sz val="11"/>
      <name val="Calibri"/>
      <charset val="134"/>
    </font>
    <font>
      <i/>
      <sz val="8"/>
      <color rgb="FFFF0000"/>
      <name val="Cambria"/>
      <charset val="134"/>
    </font>
    <font>
      <i/>
      <sz val="11"/>
      <color rgb="FFFF0000"/>
      <name val="Cambria"/>
      <charset val="134"/>
    </font>
    <font>
      <i/>
      <sz val="11"/>
      <color rgb="FF0070C0"/>
      <name val="Cambria"/>
      <charset val="134"/>
    </font>
    <font>
      <sz val="11"/>
      <color theme="4"/>
      <name val="Cambria"/>
      <charset val="134"/>
    </font>
    <font>
      <i/>
      <sz val="11"/>
      <name val="Cambria"/>
      <charset val="134"/>
    </font>
    <font>
      <b/>
      <sz val="12"/>
      <color theme="1"/>
      <name val="Cambria"/>
      <charset val="134"/>
    </font>
    <font>
      <sz val="10"/>
      <name val="Arial"/>
      <charset val="134"/>
    </font>
    <font>
      <b/>
      <sz val="12"/>
      <color rgb="FFFFFFFF"/>
      <name val="Cambria"/>
      <charset val="1"/>
    </font>
    <font>
      <sz val="11"/>
      <name val="Cambria"/>
      <charset val="1"/>
    </font>
    <font>
      <i/>
      <sz val="8"/>
      <color theme="1"/>
      <name val="Cambria"/>
      <charset val="134"/>
    </font>
    <font>
      <b/>
      <u/>
      <sz val="12"/>
      <color theme="1"/>
      <name val="Cambria"/>
      <charset val="134"/>
    </font>
    <font>
      <sz val="11"/>
      <color rgb="FF0000FF"/>
      <name val="Book Antiqua"/>
      <charset val="134"/>
    </font>
    <font>
      <b/>
      <sz val="12"/>
      <color rgb="FF001588"/>
      <name val="Cambria"/>
      <charset val="134"/>
    </font>
    <font>
      <b/>
      <sz val="12"/>
      <color rgb="FF000000"/>
      <name val="Calibri"/>
      <charset val="134"/>
    </font>
    <font>
      <sz val="12"/>
      <color theme="1"/>
      <name val="Cambria"/>
      <charset val="134"/>
    </font>
    <font>
      <b/>
      <sz val="11"/>
      <color rgb="FF000000"/>
      <name val="Book Antiqua"/>
      <charset val="134"/>
    </font>
    <font>
      <sz val="11"/>
      <color rgb="FF000000"/>
      <name val="Book Antiqua"/>
      <charset val="134"/>
    </font>
    <font>
      <b/>
      <sz val="12"/>
      <color theme="1"/>
      <name val="Calibri"/>
      <charset val="134"/>
    </font>
    <font>
      <i/>
      <sz val="11"/>
      <color rgb="FF000000"/>
      <name val="Book Antiqua"/>
      <charset val="134"/>
    </font>
    <font>
      <b/>
      <sz val="11"/>
      <name val="Cambria"/>
      <charset val="134"/>
    </font>
    <font>
      <b/>
      <sz val="12"/>
      <color theme="1"/>
      <name val="Arial"/>
      <charset val="134"/>
    </font>
    <font>
      <sz val="12"/>
      <color rgb="FFFF0000"/>
      <name val="Cambria"/>
      <charset val="134"/>
    </font>
    <font>
      <sz val="11"/>
      <color rgb="FFFF0000"/>
      <name val="Cambria"/>
      <charset val="134"/>
    </font>
    <font>
      <sz val="8"/>
      <color theme="1"/>
      <name val="Arial"/>
      <charset val="134"/>
    </font>
    <font>
      <sz val="10"/>
      <color theme="1"/>
      <name val="Times New Roman"/>
      <charset val="134"/>
    </font>
    <font>
      <b/>
      <sz val="11"/>
      <color rgb="FF000000"/>
      <name val="Calibri"/>
      <charset val="134"/>
    </font>
    <font>
      <b/>
      <sz val="10"/>
      <color rgb="FF000000"/>
      <name val="Calibri"/>
      <charset val="134"/>
    </font>
    <font>
      <i/>
      <sz val="10"/>
      <color theme="1"/>
      <name val="Calibri"/>
      <charset val="134"/>
    </font>
    <font>
      <sz val="11"/>
      <color rgb="FF1D41D5"/>
      <name val="Calibri"/>
      <charset val="134"/>
    </font>
    <font>
      <b/>
      <sz val="11"/>
      <name val="Calibri"/>
      <charset val="134"/>
    </font>
    <font>
      <sz val="11"/>
      <color rgb="FF0070C0"/>
      <name val="Calibri"/>
      <charset val="134"/>
    </font>
    <font>
      <b/>
      <u/>
      <sz val="11"/>
      <color theme="1"/>
      <name val="Calibri"/>
      <charset val="134"/>
    </font>
    <font>
      <sz val="10"/>
      <color rgb="FF17365D"/>
      <name val="Times New Roman"/>
      <charset val="134"/>
    </font>
    <font>
      <b/>
      <sz val="12"/>
      <color rgb="FF17365D"/>
      <name val="Calibri"/>
      <charset val="134"/>
    </font>
    <font>
      <sz val="12"/>
      <color theme="1"/>
      <name val="Calibri"/>
      <charset val="134"/>
    </font>
    <font>
      <sz val="10.5"/>
      <color rgb="FF000000"/>
      <name val="Calibri"/>
      <charset val="134"/>
    </font>
    <font>
      <sz val="10.5"/>
      <color theme="1"/>
      <name val="Calibri"/>
      <charset val="134"/>
    </font>
    <font>
      <u/>
      <sz val="11"/>
      <color rgb="FF800080"/>
      <name val="Calibri"/>
      <charset val="134"/>
    </font>
    <font>
      <sz val="12"/>
      <color theme="1"/>
      <name val="Calibri Light"/>
      <charset val="134"/>
    </font>
    <font>
      <b/>
      <sz val="16"/>
      <color theme="1"/>
      <name val="Calibri"/>
      <charset val="134"/>
    </font>
    <font>
      <b/>
      <sz val="18"/>
      <color theme="1"/>
      <name val="Calibri"/>
      <charset val="134"/>
    </font>
    <font>
      <b/>
      <sz val="16"/>
      <color theme="0"/>
      <name val="Calibri"/>
      <charset val="134"/>
    </font>
    <font>
      <sz val="16"/>
      <color theme="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Times New Roman"/>
      <charset val="134"/>
    </font>
  </fonts>
  <fills count="52">
    <fill>
      <patternFill patternType="none"/>
    </fill>
    <fill>
      <patternFill patternType="gray125"/>
    </fill>
    <fill>
      <patternFill patternType="solid">
        <fgColor theme="3" tint="0.4"/>
        <bgColor rgb="FF4F81BD"/>
      </patternFill>
    </fill>
    <fill>
      <patternFill patternType="solid">
        <fgColor rgb="FF002060"/>
        <bgColor rgb="FF001588"/>
      </patternFill>
    </fill>
    <fill>
      <patternFill patternType="solid">
        <fgColor theme="0"/>
        <bgColor rgb="FFF2F2F2"/>
      </patternFill>
    </fill>
    <fill>
      <patternFill patternType="solid">
        <fgColor theme="0" tint="-0.05"/>
        <bgColor rgb="FFE3EAF2"/>
      </patternFill>
    </fill>
    <fill>
      <patternFill patternType="solid">
        <fgColor rgb="FFC0C0C0"/>
        <bgColor rgb="FFBFBFBF"/>
      </patternFill>
    </fill>
    <fill>
      <patternFill patternType="solid">
        <fgColor rgb="FFCCFF99"/>
        <bgColor rgb="FFFFFFCC"/>
      </patternFill>
    </fill>
    <fill>
      <patternFill patternType="solid">
        <fgColor theme="0" tint="-0.25"/>
        <bgColor rgb="FFC0C0C0"/>
      </patternFill>
    </fill>
    <fill>
      <patternFill patternType="solid">
        <fgColor theme="8" tint="0.4"/>
        <bgColor rgb="FF95B3D7"/>
      </patternFill>
    </fill>
    <fill>
      <patternFill patternType="solid">
        <fgColor theme="4" tint="-0.25"/>
        <bgColor rgb="FF254061"/>
      </patternFill>
    </fill>
    <fill>
      <patternFill patternType="solid">
        <fgColor theme="3" tint="0.7998"/>
        <bgColor rgb="FFB7DEE8"/>
      </patternFill>
    </fill>
    <fill>
      <patternFill patternType="solid">
        <fgColor theme="4" tint="0.3997"/>
        <bgColor rgb="FF93CDDD"/>
      </patternFill>
    </fill>
    <fill>
      <patternFill patternType="solid">
        <fgColor theme="3" tint="-0.25"/>
        <bgColor rgb="FF17365D"/>
      </patternFill>
    </fill>
    <fill>
      <patternFill patternType="solid">
        <fgColor theme="8" tint="0.6"/>
        <bgColor rgb="FFC6D9F1"/>
      </patternFill>
    </fill>
    <fill>
      <patternFill patternType="solid">
        <fgColor theme="9" tint="0.7999"/>
        <bgColor rgb="FFF2F2F2"/>
      </patternFill>
    </fill>
    <fill>
      <patternFill patternType="solid">
        <fgColor theme="0" tint="-0.05"/>
        <bgColor indexed="64"/>
      </patternFill>
    </fill>
    <fill>
      <patternFill patternType="solid">
        <fgColor theme="0" tint="-0.05"/>
        <bgColor indexed="64"/>
      </patternFill>
    </fill>
    <fill>
      <patternFill patternType="solid">
        <fgColor rgb="FFFFFFCC"/>
        <bgColor rgb="FFFDEADA"/>
      </patternFill>
    </fill>
    <fill>
      <patternFill patternType="solid">
        <fgColor theme="4" tint="0.7999"/>
        <bgColor rgb="FFE3EAF2"/>
      </patternFill>
    </fill>
    <fill>
      <patternFill patternType="solid">
        <fgColor theme="5" tint="0.7999"/>
        <bgColor rgb="FFFDEAD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auto="1"/>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medium">
        <color rgb="FFE3EAF2"/>
      </bottom>
      <diagonal/>
    </border>
    <border>
      <left style="dashed">
        <color auto="1"/>
      </left>
      <right style="dashed">
        <color auto="1"/>
      </right>
      <top style="dashed">
        <color auto="1"/>
      </top>
      <bottom style="dashed">
        <color auto="1"/>
      </bottom>
      <diagonal/>
    </border>
    <border>
      <left/>
      <right style="dotted">
        <color auto="1"/>
      </right>
      <top style="dotted">
        <color auto="1"/>
      </top>
      <bottom style="dotted">
        <color auto="1"/>
      </bottom>
      <diagonal/>
    </border>
    <border>
      <left/>
      <right style="thin">
        <color auto="1"/>
      </right>
      <top/>
      <bottom style="thin">
        <color auto="1"/>
      </bottom>
      <diagonal/>
    </border>
    <border>
      <left/>
      <right style="thin">
        <color auto="1"/>
      </right>
      <top/>
      <bottom/>
      <diagonal/>
    </border>
    <border>
      <left/>
      <right/>
      <top style="thin">
        <color auto="1"/>
      </top>
      <bottom style="double">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double">
        <color auto="1"/>
      </bottom>
      <diagonal/>
    </border>
    <border>
      <left style="dotted">
        <color auto="1"/>
      </left>
      <right style="dotted">
        <color auto="1"/>
      </right>
      <top style="dotted">
        <color auto="1"/>
      </top>
      <bottom style="dotted">
        <color auto="1"/>
      </bottom>
      <diagonal/>
    </border>
    <border>
      <left style="thin">
        <color auto="1"/>
      </left>
      <right/>
      <top style="thin">
        <color auto="1"/>
      </top>
      <bottom style="double">
        <color auto="1"/>
      </bottom>
      <diagonal/>
    </border>
    <border>
      <left/>
      <right/>
      <top style="thin">
        <color auto="1"/>
      </top>
      <bottom style="medium">
        <color auto="1"/>
      </bottom>
      <diagonal/>
    </border>
    <border>
      <left style="thin">
        <color auto="1"/>
      </left>
      <right/>
      <top style="thin">
        <color auto="1"/>
      </top>
      <bottom style="medium">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xf numFmtId="43" fontId="79" fillId="0" borderId="0" applyBorder="0" applyAlignment="0" applyProtection="0"/>
    <xf numFmtId="44" fontId="79" fillId="0" borderId="0" applyBorder="0" applyAlignment="0" applyProtection="0"/>
    <xf numFmtId="9" fontId="79" fillId="0" borderId="0" applyBorder="0" applyAlignment="0" applyProtection="0"/>
    <xf numFmtId="41" fontId="79" fillId="0" borderId="0" applyBorder="0" applyAlignment="0" applyProtection="0"/>
    <xf numFmtId="42" fontId="79" fillId="0" borderId="0" applyBorder="0" applyAlignment="0" applyProtection="0"/>
    <xf numFmtId="0" fontId="116"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38" fillId="21" borderId="26" applyNumberFormat="0" applyFont="0" applyAlignment="0" applyProtection="0">
      <alignment vertical="center"/>
    </xf>
    <xf numFmtId="0" fontId="118"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1" fillId="0" borderId="27" applyNumberFormat="0" applyFill="0" applyAlignment="0" applyProtection="0">
      <alignment vertical="center"/>
    </xf>
    <xf numFmtId="0" fontId="122" fillId="0" borderId="27" applyNumberFormat="0" applyFill="0" applyAlignment="0" applyProtection="0">
      <alignment vertical="center"/>
    </xf>
    <xf numFmtId="0" fontId="123" fillId="0" borderId="28" applyNumberFormat="0" applyFill="0" applyAlignment="0" applyProtection="0">
      <alignment vertical="center"/>
    </xf>
    <xf numFmtId="0" fontId="123" fillId="0" borderId="0" applyNumberFormat="0" applyFill="0" applyBorder="0" applyAlignment="0" applyProtection="0">
      <alignment vertical="center"/>
    </xf>
    <xf numFmtId="0" fontId="124" fillId="22" borderId="29" applyNumberFormat="0" applyAlignment="0" applyProtection="0">
      <alignment vertical="center"/>
    </xf>
    <xf numFmtId="0" fontId="125" fillId="23" borderId="30" applyNumberFormat="0" applyAlignment="0" applyProtection="0">
      <alignment vertical="center"/>
    </xf>
    <xf numFmtId="0" fontId="126" fillId="23" borderId="29" applyNumberFormat="0" applyAlignment="0" applyProtection="0">
      <alignment vertical="center"/>
    </xf>
    <xf numFmtId="0" fontId="127" fillId="24" borderId="31" applyNumberFormat="0" applyAlignment="0" applyProtection="0">
      <alignment vertical="center"/>
    </xf>
    <xf numFmtId="0" fontId="128" fillId="0" borderId="32" applyNumberFormat="0" applyFill="0" applyAlignment="0" applyProtection="0">
      <alignment vertical="center"/>
    </xf>
    <xf numFmtId="0" fontId="129" fillId="0" borderId="33" applyNumberFormat="0" applyFill="0" applyAlignment="0" applyProtection="0">
      <alignment vertical="center"/>
    </xf>
    <xf numFmtId="0" fontId="130" fillId="25" borderId="0" applyNumberFormat="0" applyBorder="0" applyAlignment="0" applyProtection="0">
      <alignment vertical="center"/>
    </xf>
    <xf numFmtId="0" fontId="131" fillId="26" borderId="0" applyNumberFormat="0" applyBorder="0" applyAlignment="0" applyProtection="0">
      <alignment vertical="center"/>
    </xf>
    <xf numFmtId="0" fontId="132" fillId="27" borderId="0" applyNumberFormat="0" applyBorder="0" applyAlignment="0" applyProtection="0">
      <alignment vertical="center"/>
    </xf>
    <xf numFmtId="0" fontId="133" fillId="28" borderId="0" applyNumberFormat="0" applyBorder="0" applyAlignment="0" applyProtection="0">
      <alignment vertical="center"/>
    </xf>
    <xf numFmtId="0" fontId="134" fillId="29" borderId="0" applyNumberFormat="0" applyBorder="0" applyAlignment="0" applyProtection="0">
      <alignment vertical="center"/>
    </xf>
    <xf numFmtId="0" fontId="134" fillId="30" borderId="0" applyNumberFormat="0" applyBorder="0" applyAlignment="0" applyProtection="0">
      <alignment vertical="center"/>
    </xf>
    <xf numFmtId="0" fontId="133" fillId="31" borderId="0" applyNumberFormat="0" applyBorder="0" applyAlignment="0" applyProtection="0">
      <alignment vertical="center"/>
    </xf>
    <xf numFmtId="0" fontId="133" fillId="32" borderId="0" applyNumberFormat="0" applyBorder="0" applyAlignment="0" applyProtection="0">
      <alignment vertical="center"/>
    </xf>
    <xf numFmtId="0" fontId="134" fillId="33" borderId="0" applyNumberFormat="0" applyBorder="0" applyAlignment="0" applyProtection="0">
      <alignment vertical="center"/>
    </xf>
    <xf numFmtId="0" fontId="134" fillId="34" borderId="0" applyNumberFormat="0" applyBorder="0" applyAlignment="0" applyProtection="0">
      <alignment vertical="center"/>
    </xf>
    <xf numFmtId="0" fontId="133" fillId="35" borderId="0" applyNumberFormat="0" applyBorder="0" applyAlignment="0" applyProtection="0">
      <alignment vertical="center"/>
    </xf>
    <xf numFmtId="0" fontId="133" fillId="36" borderId="0" applyNumberFormat="0" applyBorder="0" applyAlignment="0" applyProtection="0">
      <alignment vertical="center"/>
    </xf>
    <xf numFmtId="0" fontId="134" fillId="37" borderId="0" applyNumberFormat="0" applyBorder="0" applyAlignment="0" applyProtection="0">
      <alignment vertical="center"/>
    </xf>
    <xf numFmtId="0" fontId="134" fillId="38" borderId="0" applyNumberFormat="0" applyBorder="0" applyAlignment="0" applyProtection="0">
      <alignment vertical="center"/>
    </xf>
    <xf numFmtId="0" fontId="133" fillId="39" borderId="0" applyNumberFormat="0" applyBorder="0" applyAlignment="0" applyProtection="0">
      <alignment vertical="center"/>
    </xf>
    <xf numFmtId="0" fontId="133" fillId="40" borderId="0" applyNumberFormat="0" applyBorder="0" applyAlignment="0" applyProtection="0">
      <alignment vertical="center"/>
    </xf>
    <xf numFmtId="0" fontId="134" fillId="41" borderId="0" applyNumberFormat="0" applyBorder="0" applyAlignment="0" applyProtection="0">
      <alignment vertical="center"/>
    </xf>
    <xf numFmtId="0" fontId="134" fillId="42" borderId="0" applyNumberFormat="0" applyBorder="0" applyAlignment="0" applyProtection="0">
      <alignment vertical="center"/>
    </xf>
    <xf numFmtId="0" fontId="133" fillId="43" borderId="0" applyNumberFormat="0" applyBorder="0" applyAlignment="0" applyProtection="0">
      <alignment vertical="center"/>
    </xf>
    <xf numFmtId="0" fontId="133" fillId="44" borderId="0" applyNumberFormat="0" applyBorder="0" applyAlignment="0" applyProtection="0">
      <alignment vertical="center"/>
    </xf>
    <xf numFmtId="0" fontId="134" fillId="45" borderId="0" applyNumberFormat="0" applyBorder="0" applyAlignment="0" applyProtection="0">
      <alignment vertical="center"/>
    </xf>
    <xf numFmtId="0" fontId="134" fillId="46" borderId="0" applyNumberFormat="0" applyBorder="0" applyAlignment="0" applyProtection="0">
      <alignment vertical="center"/>
    </xf>
    <xf numFmtId="0" fontId="133" fillId="47" borderId="0" applyNumberFormat="0" applyBorder="0" applyAlignment="0" applyProtection="0">
      <alignment vertical="center"/>
    </xf>
    <xf numFmtId="0" fontId="133" fillId="48" borderId="0" applyNumberFormat="0" applyBorder="0" applyAlignment="0" applyProtection="0">
      <alignment vertical="center"/>
    </xf>
    <xf numFmtId="0" fontId="134" fillId="49" borderId="0" applyNumberFormat="0" applyBorder="0" applyAlignment="0" applyProtection="0">
      <alignment vertical="center"/>
    </xf>
    <xf numFmtId="0" fontId="134" fillId="50" borderId="0" applyNumberFormat="0" applyBorder="0" applyAlignment="0" applyProtection="0">
      <alignment vertical="center"/>
    </xf>
    <xf numFmtId="0" fontId="133" fillId="51" borderId="0" applyNumberFormat="0" applyBorder="0" applyAlignment="0" applyProtection="0">
      <alignment vertical="center"/>
    </xf>
    <xf numFmtId="0" fontId="0" fillId="19" borderId="0"/>
    <xf numFmtId="176" fontId="0" fillId="0" borderId="0"/>
    <xf numFmtId="0" fontId="107" fillId="0" borderId="0"/>
    <xf numFmtId="0" fontId="0" fillId="0" borderId="0"/>
    <xf numFmtId="0" fontId="107" fillId="0" borderId="0"/>
    <xf numFmtId="0" fontId="2" fillId="0" borderId="0"/>
    <xf numFmtId="0" fontId="107" fillId="0" borderId="0"/>
    <xf numFmtId="0" fontId="135" fillId="0" borderId="0"/>
    <xf numFmtId="0" fontId="107" fillId="0" borderId="0"/>
    <xf numFmtId="0" fontId="2" fillId="0" borderId="0"/>
    <xf numFmtId="9" fontId="0" fillId="0" borderId="0"/>
  </cellStyleXfs>
  <cellXfs count="553">
    <xf numFmtId="0" fontId="0" fillId="0" borderId="0" xfId="0"/>
    <xf numFmtId="0" fontId="1" fillId="0" borderId="0" xfId="0" applyFont="1" applyAlignment="1"/>
    <xf numFmtId="0" fontId="1" fillId="0" borderId="0" xfId="0" applyFont="1" applyAlignment="1">
      <alignment horizontal="center"/>
    </xf>
    <xf numFmtId="0" fontId="2" fillId="0" borderId="0" xfId="0" applyFont="1" applyAlignment="1"/>
    <xf numFmtId="0" fontId="3" fillId="2" borderId="0" xfId="0" applyFont="1" applyFill="1" applyBorder="1" applyAlignment="1">
      <alignment horizontal="center" vertical="center"/>
    </xf>
    <xf numFmtId="0" fontId="4" fillId="0" borderId="0" xfId="0" applyFont="1" applyBorder="1" applyAlignment="1">
      <alignment horizontal="center" wrapText="1"/>
    </xf>
    <xf numFmtId="0" fontId="4" fillId="0" borderId="0" xfId="0" applyFont="1" applyAlignment="1">
      <alignment wrapText="1"/>
    </xf>
    <xf numFmtId="0" fontId="5" fillId="3" borderId="1" xfId="0" applyFont="1" applyFill="1" applyBorder="1" applyAlignment="1">
      <alignment horizontal="center"/>
    </xf>
    <xf numFmtId="0" fontId="1" fillId="4"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5" borderId="3" xfId="0" applyFont="1" applyFill="1" applyBorder="1" applyAlignment="1">
      <alignment horizontal="center" vertical="center" wrapText="1"/>
    </xf>
    <xf numFmtId="0" fontId="4" fillId="0" borderId="2" xfId="0" applyFont="1" applyBorder="1" applyAlignment="1">
      <alignment horizontal="center"/>
    </xf>
    <xf numFmtId="0" fontId="4" fillId="5" borderId="2" xfId="0" applyFont="1" applyFill="1" applyBorder="1" applyAlignment="1">
      <alignment horizontal="center"/>
    </xf>
    <xf numFmtId="0" fontId="2" fillId="5" borderId="0" xfId="0" applyFont="1" applyFill="1" applyAlignment="1"/>
    <xf numFmtId="176" fontId="2" fillId="0" borderId="0" xfId="0" applyNumberFormat="1" applyFont="1" applyAlignment="1"/>
    <xf numFmtId="177" fontId="2" fillId="0" borderId="0" xfId="0" applyNumberFormat="1" applyFont="1" applyAlignment="1"/>
    <xf numFmtId="176" fontId="2" fillId="5" borderId="0" xfId="0" applyNumberFormat="1" applyFont="1" applyFill="1" applyAlignment="1"/>
    <xf numFmtId="177" fontId="2" fillId="5" borderId="0" xfId="0" applyNumberFormat="1" applyFont="1" applyFill="1" applyAlignment="1"/>
    <xf numFmtId="176" fontId="1" fillId="0" borderId="4" xfId="0" applyNumberFormat="1" applyFont="1" applyBorder="1" applyAlignment="1"/>
    <xf numFmtId="177" fontId="1" fillId="0" borderId="4" xfId="0" applyNumberFormat="1" applyFont="1" applyBorder="1" applyAlignment="1"/>
    <xf numFmtId="177" fontId="1" fillId="5" borderId="4" xfId="0" applyNumberFormat="1" applyFont="1" applyFill="1" applyBorder="1" applyAlignment="1"/>
    <xf numFmtId="178" fontId="2" fillId="0" borderId="0" xfId="0" applyNumberFormat="1" applyFont="1" applyAlignment="1"/>
    <xf numFmtId="9" fontId="2" fillId="0" borderId="0" xfId="0" applyNumberFormat="1" applyFont="1" applyAlignment="1"/>
    <xf numFmtId="10" fontId="2" fillId="0" borderId="0" xfId="0" applyNumberFormat="1" applyFont="1" applyAlignment="1"/>
    <xf numFmtId="0" fontId="6" fillId="3" borderId="0" xfId="0" applyFont="1" applyFill="1" applyBorder="1" applyAlignment="1">
      <alignment horizontal="center"/>
    </xf>
    <xf numFmtId="2" fontId="2" fillId="0" borderId="0" xfId="0" applyNumberFormat="1" applyFont="1" applyAlignment="1"/>
    <xf numFmtId="10" fontId="1" fillId="0" borderId="4" xfId="0" applyNumberFormat="1" applyFont="1" applyBorder="1" applyAlignment="1"/>
    <xf numFmtId="179" fontId="1" fillId="0" borderId="4" xfId="0" applyNumberFormat="1" applyFont="1" applyBorder="1" applyAlignment="1"/>
    <xf numFmtId="180" fontId="1" fillId="0" borderId="0" xfId="0" applyNumberFormat="1" applyFont="1" applyAlignment="1"/>
    <xf numFmtId="0" fontId="7" fillId="0" borderId="0" xfId="0" applyFont="1" applyBorder="1" applyAlignment="1">
      <alignment horizontal="center"/>
    </xf>
    <xf numFmtId="179" fontId="8" fillId="6" borderId="0" xfId="0" applyNumberFormat="1" applyFont="1" applyFill="1" applyAlignment="1">
      <alignment horizontal="center" vertical="top" wrapText="1"/>
    </xf>
    <xf numFmtId="181" fontId="2" fillId="0" borderId="0" xfId="0" applyNumberFormat="1" applyFont="1" applyAlignment="1"/>
    <xf numFmtId="182" fontId="2" fillId="0" borderId="5" xfId="0" applyNumberFormat="1" applyFont="1" applyBorder="1" applyAlignment="1"/>
    <xf numFmtId="10" fontId="2" fillId="0" borderId="5" xfId="0" applyNumberFormat="1" applyFont="1" applyBorder="1" applyAlignment="1">
      <alignment horizontal="center"/>
    </xf>
    <xf numFmtId="0" fontId="1" fillId="7" borderId="0" xfId="0" applyFont="1" applyFill="1" applyAlignment="1"/>
    <xf numFmtId="181" fontId="1" fillId="7" borderId="0" xfId="0" applyNumberFormat="1" applyFont="1" applyFill="1" applyAlignment="1"/>
    <xf numFmtId="0" fontId="6" fillId="3" borderId="0" xfId="0" applyFont="1" applyFill="1" applyBorder="1" applyAlignment="1">
      <alignment horizontal="center" vertical="center" textRotation="90" wrapText="1"/>
    </xf>
    <xf numFmtId="183" fontId="2" fillId="0" borderId="5" xfId="0" applyNumberFormat="1" applyFont="1" applyBorder="1" applyAlignment="1">
      <alignment horizontal="center"/>
    </xf>
    <xf numFmtId="183" fontId="2" fillId="7" borderId="5" xfId="0" applyNumberFormat="1" applyFont="1" applyFill="1" applyBorder="1" applyAlignment="1">
      <alignment horizontal="center"/>
    </xf>
    <xf numFmtId="0" fontId="4" fillId="0" borderId="2" xfId="0" applyFont="1" applyBorder="1" applyAlignment="1">
      <alignment horizontal="center" wrapText="1"/>
    </xf>
    <xf numFmtId="0" fontId="5" fillId="3" borderId="6" xfId="0" applyFont="1" applyFill="1" applyBorder="1" applyAlignment="1">
      <alignment horizontal="center"/>
    </xf>
    <xf numFmtId="0" fontId="5" fillId="3" borderId="0" xfId="0" applyFont="1" applyFill="1" applyAlignment="1">
      <alignment horizontal="center"/>
    </xf>
    <xf numFmtId="0" fontId="5" fillId="3" borderId="0" xfId="0" applyFont="1" applyFill="1" applyBorder="1" applyAlignment="1">
      <alignment horizontal="center"/>
    </xf>
    <xf numFmtId="0" fontId="5" fillId="3" borderId="0" xfId="0" applyFont="1" applyFill="1" applyAlignment="1">
      <alignment horizontal="center" wrapText="1"/>
    </xf>
    <xf numFmtId="0" fontId="5" fillId="3" borderId="0" xfId="0" applyFont="1" applyFill="1" applyBorder="1" applyAlignment="1">
      <alignment horizontal="center" wrapText="1"/>
    </xf>
    <xf numFmtId="0" fontId="1" fillId="0" borderId="0" xfId="0" applyFont="1" applyBorder="1" applyAlignment="1">
      <alignment horizontal="left" vertical="center"/>
    </xf>
    <xf numFmtId="0" fontId="1" fillId="0" borderId="0" xfId="0" applyFont="1" applyBorder="1" applyAlignment="1">
      <alignment horizontal="left" vertical="center" wrapText="1"/>
    </xf>
    <xf numFmtId="0" fontId="1" fillId="0" borderId="0" xfId="0" applyFont="1" applyBorder="1" applyAlignment="1">
      <alignment horizontal="right" vertical="center" wrapText="1"/>
    </xf>
    <xf numFmtId="0" fontId="1" fillId="0" borderId="0" xfId="0" applyFont="1" applyAlignment="1">
      <alignment horizontal="right"/>
    </xf>
    <xf numFmtId="0" fontId="9" fillId="0" borderId="0" xfId="0" applyFont="1" applyAlignment="1">
      <alignment horizontal="right"/>
    </xf>
    <xf numFmtId="0" fontId="9" fillId="0" borderId="0" xfId="0" applyFont="1" applyAlignment="1">
      <alignment horizontal="center"/>
    </xf>
    <xf numFmtId="0" fontId="10" fillId="0" borderId="0" xfId="0" applyFont="1" applyAlignment="1"/>
    <xf numFmtId="184" fontId="10" fillId="0" borderId="0" xfId="0" applyNumberFormat="1" applyFont="1" applyAlignment="1"/>
    <xf numFmtId="2" fontId="10" fillId="0" borderId="0" xfId="0" applyNumberFormat="1" applyFont="1" applyAlignment="1"/>
    <xf numFmtId="184" fontId="2" fillId="0" borderId="0" xfId="0" applyNumberFormat="1" applyFont="1" applyAlignment="1"/>
    <xf numFmtId="185" fontId="10" fillId="0" borderId="0" xfId="0" applyNumberFormat="1" applyFont="1" applyAlignment="1"/>
    <xf numFmtId="186" fontId="11" fillId="0" borderId="0" xfId="0" applyNumberFormat="1" applyFont="1" applyAlignment="1">
      <alignment vertical="center"/>
    </xf>
    <xf numFmtId="176" fontId="1" fillId="0" borderId="0" xfId="0" applyNumberFormat="1" applyFont="1" applyAlignment="1"/>
    <xf numFmtId="176" fontId="4" fillId="0" borderId="0" xfId="0" applyNumberFormat="1" applyFont="1" applyAlignment="1"/>
    <xf numFmtId="0" fontId="5" fillId="3" borderId="0" xfId="0" applyFont="1" applyFill="1" applyAlignment="1">
      <alignment horizontal="left"/>
    </xf>
    <xf numFmtId="186" fontId="12" fillId="3" borderId="0" xfId="0" applyNumberFormat="1" applyFont="1" applyFill="1" applyAlignment="1">
      <alignment vertical="center"/>
    </xf>
    <xf numFmtId="0" fontId="5" fillId="3" borderId="0" xfId="0" applyFont="1" applyFill="1" applyAlignment="1">
      <alignment horizontal="right"/>
    </xf>
    <xf numFmtId="0" fontId="5" fillId="0" borderId="0" xfId="0" applyFont="1" applyAlignment="1">
      <alignment horizontal="left"/>
    </xf>
    <xf numFmtId="0" fontId="5" fillId="0" borderId="0" xfId="0" applyFont="1" applyAlignment="1">
      <alignment horizontal="center"/>
    </xf>
    <xf numFmtId="186" fontId="2" fillId="0" borderId="0" xfId="0" applyNumberFormat="1" applyFont="1" applyAlignment="1"/>
    <xf numFmtId="187" fontId="2" fillId="0" borderId="0" xfId="0" applyNumberFormat="1" applyFont="1" applyAlignment="1"/>
    <xf numFmtId="176" fontId="10" fillId="0" borderId="0" xfId="0" applyNumberFormat="1" applyFont="1" applyAlignment="1"/>
    <xf numFmtId="0" fontId="13" fillId="0" borderId="0" xfId="0" applyFont="1" applyAlignment="1"/>
    <xf numFmtId="0" fontId="11" fillId="0" borderId="0" xfId="0" applyFont="1" applyAlignment="1"/>
    <xf numFmtId="0" fontId="13" fillId="0" borderId="0" xfId="0" applyFont="1" applyAlignment="1">
      <alignment horizontal="center"/>
    </xf>
    <xf numFmtId="0" fontId="13" fillId="0" borderId="0" xfId="0" applyFont="1" applyAlignment="1">
      <alignment horizontal="right"/>
    </xf>
    <xf numFmtId="0" fontId="13" fillId="0" borderId="0" xfId="0" applyFont="1" applyAlignment="1">
      <alignment horizontal="left"/>
    </xf>
    <xf numFmtId="0" fontId="14" fillId="0" borderId="0" xfId="0" applyFont="1" applyAlignment="1"/>
    <xf numFmtId="0" fontId="12" fillId="0" borderId="0" xfId="0" applyFont="1" applyAlignment="1"/>
    <xf numFmtId="0" fontId="15" fillId="3" borderId="0" xfId="0" applyFont="1" applyFill="1" applyAlignment="1"/>
    <xf numFmtId="0" fontId="16" fillId="3" borderId="0" xfId="0" applyFont="1" applyFill="1" applyAlignment="1"/>
    <xf numFmtId="0" fontId="15" fillId="3" borderId="0" xfId="0" applyFont="1" applyFill="1" applyAlignment="1">
      <alignment horizontal="left"/>
    </xf>
    <xf numFmtId="0" fontId="15" fillId="3" borderId="0" xfId="0" applyFont="1" applyFill="1" applyAlignment="1">
      <alignment horizontal="right"/>
    </xf>
    <xf numFmtId="0" fontId="15" fillId="3" borderId="0" xfId="0" applyFont="1" applyFill="1" applyAlignment="1">
      <alignment horizontal="center"/>
    </xf>
    <xf numFmtId="185" fontId="17" fillId="0" borderId="0" xfId="0" applyNumberFormat="1" applyFont="1" applyAlignment="1"/>
    <xf numFmtId="0" fontId="18" fillId="0" borderId="0" xfId="0" applyFont="1" applyAlignment="1"/>
    <xf numFmtId="2" fontId="17" fillId="0" borderId="0" xfId="0" applyNumberFormat="1" applyFont="1" applyAlignment="1"/>
    <xf numFmtId="1" fontId="17" fillId="0" borderId="0" xfId="0" applyNumberFormat="1" applyFont="1" applyAlignment="1"/>
    <xf numFmtId="9" fontId="17" fillId="0" borderId="0" xfId="0" applyNumberFormat="1" applyFont="1" applyAlignment="1"/>
    <xf numFmtId="0" fontId="19" fillId="8" borderId="0" xfId="0" applyFont="1" applyFill="1" applyAlignment="1">
      <alignment horizontal="left" vertical="center" wrapText="1"/>
    </xf>
    <xf numFmtId="0" fontId="11" fillId="8" borderId="0" xfId="0" applyFont="1" applyFill="1" applyAlignment="1"/>
    <xf numFmtId="0" fontId="20" fillId="8" borderId="0" xfId="0" applyFont="1" applyFill="1" applyAlignment="1">
      <alignment horizontal="left" vertical="center" wrapText="1"/>
    </xf>
    <xf numFmtId="188" fontId="21" fillId="8" borderId="0" xfId="0" applyNumberFormat="1" applyFont="1" applyFill="1" applyAlignment="1">
      <alignment vertical="center"/>
    </xf>
    <xf numFmtId="2" fontId="20" fillId="8" borderId="0" xfId="0" applyNumberFormat="1" applyFont="1" applyFill="1" applyAlignment="1">
      <alignment vertical="center"/>
    </xf>
    <xf numFmtId="189" fontId="22" fillId="8" borderId="0" xfId="0" applyNumberFormat="1" applyFont="1" applyFill="1" applyAlignment="1">
      <alignment vertical="center"/>
    </xf>
    <xf numFmtId="185" fontId="20" fillId="8" borderId="0" xfId="0" applyNumberFormat="1" applyFont="1" applyFill="1" applyAlignment="1">
      <alignment vertical="center"/>
    </xf>
    <xf numFmtId="1" fontId="20" fillId="8" borderId="0" xfId="0" applyNumberFormat="1" applyFont="1" applyFill="1" applyAlignment="1">
      <alignment vertical="center"/>
    </xf>
    <xf numFmtId="1" fontId="22" fillId="8" borderId="0" xfId="0" applyNumberFormat="1" applyFont="1" applyFill="1" applyAlignment="1">
      <alignment vertical="center"/>
    </xf>
    <xf numFmtId="179" fontId="20" fillId="8" borderId="0" xfId="0" applyNumberFormat="1" applyFont="1" applyFill="1" applyAlignment="1">
      <alignment vertical="center"/>
    </xf>
    <xf numFmtId="1" fontId="10" fillId="0" borderId="0" xfId="0" applyNumberFormat="1" applyFont="1" applyAlignment="1"/>
    <xf numFmtId="9" fontId="10" fillId="0" borderId="0" xfId="0" applyNumberFormat="1" applyFont="1" applyAlignment="1"/>
    <xf numFmtId="0" fontId="20" fillId="0" borderId="0" xfId="0" applyFont="1" applyAlignment="1">
      <alignment horizontal="left"/>
    </xf>
    <xf numFmtId="188" fontId="21" fillId="0" borderId="0" xfId="0" applyNumberFormat="1" applyFont="1" applyAlignment="1">
      <alignment vertical="center"/>
    </xf>
    <xf numFmtId="189" fontId="23" fillId="0" borderId="0" xfId="0" applyNumberFormat="1" applyFont="1" applyAlignment="1"/>
    <xf numFmtId="179" fontId="21" fillId="0" borderId="0" xfId="0" applyNumberFormat="1" applyFont="1" applyAlignment="1">
      <alignment vertical="center"/>
    </xf>
    <xf numFmtId="185" fontId="24" fillId="0" borderId="0" xfId="0" applyNumberFormat="1" applyFont="1" applyAlignment="1"/>
    <xf numFmtId="0" fontId="25" fillId="0" borderId="0" xfId="0" applyFont="1" applyAlignment="1"/>
    <xf numFmtId="190" fontId="13" fillId="0" borderId="0" xfId="0" applyNumberFormat="1" applyFont="1" applyAlignment="1">
      <alignment horizontal="right"/>
    </xf>
    <xf numFmtId="190" fontId="13" fillId="0" borderId="0" xfId="0" applyNumberFormat="1" applyFont="1" applyAlignment="1"/>
    <xf numFmtId="0" fontId="26" fillId="0" borderId="0" xfId="0" applyFont="1" applyAlignment="1"/>
    <xf numFmtId="0" fontId="26" fillId="0" borderId="0" xfId="0" applyFont="1" applyAlignment="1">
      <alignment horizontal="center"/>
    </xf>
    <xf numFmtId="0" fontId="27" fillId="0" borderId="0" xfId="0" applyFont="1" applyAlignment="1"/>
    <xf numFmtId="0" fontId="27" fillId="0" borderId="0" xfId="0" applyFont="1" applyAlignment="1">
      <alignment horizontal="left"/>
    </xf>
    <xf numFmtId="0" fontId="27" fillId="0" borderId="0" xfId="0" applyFont="1" applyAlignment="1">
      <alignment horizontal="right"/>
    </xf>
    <xf numFmtId="0" fontId="27" fillId="0" borderId="0" xfId="0" applyFont="1" applyAlignment="1">
      <alignment horizontal="center"/>
    </xf>
    <xf numFmtId="0" fontId="28" fillId="0" borderId="0" xfId="0" applyFont="1" applyAlignment="1">
      <alignment horizontal="left"/>
    </xf>
    <xf numFmtId="0" fontId="28" fillId="0" borderId="0" xfId="0" applyFont="1" applyAlignment="1"/>
    <xf numFmtId="188" fontId="28" fillId="0" borderId="0" xfId="0" applyNumberFormat="1" applyFont="1" applyAlignment="1">
      <alignment vertical="center"/>
    </xf>
    <xf numFmtId="189" fontId="26" fillId="0" borderId="0" xfId="0" applyNumberFormat="1" applyFont="1" applyAlignment="1"/>
    <xf numFmtId="179" fontId="28" fillId="0" borderId="0" xfId="0" applyNumberFormat="1" applyFont="1" applyAlignment="1">
      <alignment vertical="center"/>
    </xf>
    <xf numFmtId="0" fontId="28" fillId="0" borderId="0" xfId="0" applyFont="1" applyAlignment="1">
      <alignment horizontal="left" vertical="center" wrapText="1"/>
    </xf>
    <xf numFmtId="189" fontId="28" fillId="0" borderId="0" xfId="0" applyNumberFormat="1" applyFont="1" applyAlignment="1">
      <alignment vertical="center"/>
    </xf>
    <xf numFmtId="0" fontId="0" fillId="4" borderId="0" xfId="0" applyFill="1" applyAlignment="1">
      <alignment vertical="center"/>
    </xf>
    <xf numFmtId="0" fontId="0" fillId="0" borderId="0" xfId="0" applyAlignment="1"/>
    <xf numFmtId="0" fontId="0" fillId="0" borderId="0" xfId="0" applyAlignment="1">
      <alignment horizontal="center" vertical="center"/>
    </xf>
    <xf numFmtId="10" fontId="0" fillId="0" borderId="0" xfId="0" applyNumberFormat="1" applyAlignment="1">
      <alignment horizontal="center" vertical="center"/>
    </xf>
    <xf numFmtId="0" fontId="0" fillId="0" borderId="0" xfId="0" applyAlignment="1">
      <alignment vertical="center"/>
    </xf>
    <xf numFmtId="0" fontId="29" fillId="9" borderId="0" xfId="0" applyFont="1" applyFill="1" applyBorder="1" applyAlignment="1">
      <alignment horizontal="center" vertical="center" wrapText="1"/>
    </xf>
    <xf numFmtId="191" fontId="30" fillId="10" borderId="0" xfId="0" applyNumberFormat="1" applyFont="1" applyFill="1" applyAlignment="1">
      <alignment horizontal="center"/>
    </xf>
    <xf numFmtId="0" fontId="30" fillId="10" borderId="0" xfId="0" applyFont="1" applyFill="1" applyAlignment="1">
      <alignment horizontal="center"/>
    </xf>
    <xf numFmtId="192" fontId="31" fillId="4" borderId="0" xfId="0" applyNumberFormat="1" applyFont="1" applyFill="1" applyAlignment="1">
      <alignment horizontal="left" vertical="center" indent="1"/>
    </xf>
    <xf numFmtId="0" fontId="0" fillId="4" borderId="0" xfId="0" applyFill="1" applyAlignment="1"/>
    <xf numFmtId="192" fontId="31" fillId="4" borderId="7" xfId="0" applyNumberFormat="1" applyFont="1" applyFill="1" applyBorder="1" applyAlignment="1">
      <alignment horizontal="left" vertical="center" indent="1"/>
    </xf>
    <xf numFmtId="4" fontId="32" fillId="0" borderId="7" xfId="0" applyNumberFormat="1" applyFont="1" applyBorder="1" applyAlignment="1">
      <alignment horizontal="right" vertical="center" indent="1"/>
    </xf>
    <xf numFmtId="10" fontId="32" fillId="0" borderId="7" xfId="0" applyNumberFormat="1" applyFont="1" applyBorder="1" applyAlignment="1">
      <alignment horizontal="right" vertical="center" indent="1"/>
    </xf>
    <xf numFmtId="0" fontId="33" fillId="0" borderId="0" xfId="0" applyFont="1" applyAlignment="1"/>
    <xf numFmtId="193" fontId="34" fillId="10" borderId="8" xfId="0" applyNumberFormat="1" applyFont="1" applyFill="1" applyBorder="1" applyAlignment="1"/>
    <xf numFmtId="179" fontId="0" fillId="0" borderId="0" xfId="0" applyNumberFormat="1" applyAlignment="1"/>
    <xf numFmtId="179" fontId="34" fillId="10" borderId="8" xfId="0" applyNumberFormat="1" applyFont="1" applyFill="1" applyBorder="1" applyAlignment="1"/>
    <xf numFmtId="4" fontId="32" fillId="4" borderId="0" xfId="0" applyNumberFormat="1" applyFont="1" applyFill="1" applyAlignment="1">
      <alignment horizontal="right" vertical="center" indent="1"/>
    </xf>
    <xf numFmtId="4" fontId="0" fillId="0" borderId="0" xfId="0" applyNumberFormat="1" applyAlignment="1">
      <alignment vertical="center"/>
    </xf>
    <xf numFmtId="192" fontId="31" fillId="0" borderId="7" xfId="0" applyNumberFormat="1" applyFont="1" applyBorder="1" applyAlignment="1">
      <alignment horizontal="left" vertical="center" indent="1"/>
    </xf>
    <xf numFmtId="58" fontId="0" fillId="0" borderId="0" xfId="0" applyNumberFormat="1" applyAlignment="1">
      <alignment vertical="center"/>
    </xf>
    <xf numFmtId="10" fontId="0" fillId="0" borderId="0" xfId="0" applyNumberFormat="1" applyAlignment="1">
      <alignment vertical="center"/>
    </xf>
    <xf numFmtId="4" fontId="35" fillId="4" borderId="0" xfId="0" applyNumberFormat="1" applyFont="1" applyFill="1" applyAlignment="1">
      <alignment horizontal="right" vertical="center" wrapText="1" readingOrder="1"/>
    </xf>
    <xf numFmtId="4" fontId="36" fillId="4" borderId="0" xfId="0" applyNumberFormat="1" applyFont="1" applyFill="1" applyAlignment="1">
      <alignment horizontal="right" vertical="center" wrapText="1"/>
    </xf>
    <xf numFmtId="10" fontId="37" fillId="4" borderId="0" xfId="0" applyNumberFormat="1" applyFont="1" applyFill="1" applyAlignment="1">
      <alignment horizontal="right" vertical="center" readingOrder="1"/>
    </xf>
    <xf numFmtId="58" fontId="38" fillId="0" borderId="0" xfId="0" applyNumberFormat="1" applyFont="1" applyFill="1" applyAlignment="1">
      <alignment vertical="center"/>
    </xf>
    <xf numFmtId="4" fontId="38" fillId="0" borderId="0" xfId="0" applyNumberFormat="1" applyFont="1" applyFill="1" applyAlignment="1">
      <alignment vertical="center"/>
    </xf>
    <xf numFmtId="10" fontId="39" fillId="4" borderId="0" xfId="0" applyNumberFormat="1" applyFont="1" applyFill="1" applyAlignment="1">
      <alignment horizontal="right" vertical="center" readingOrder="1"/>
    </xf>
    <xf numFmtId="0" fontId="30" fillId="10" borderId="7" xfId="0" applyFont="1" applyFill="1" applyBorder="1" applyAlignment="1">
      <alignment horizontal="center" vertical="center"/>
    </xf>
    <xf numFmtId="4" fontId="30" fillId="10" borderId="7" xfId="0" applyNumberFormat="1" applyFont="1" applyFill="1" applyBorder="1" applyAlignment="1">
      <alignment horizontal="right" vertical="center" indent="1"/>
    </xf>
    <xf numFmtId="4" fontId="40" fillId="10" borderId="7" xfId="0" applyNumberFormat="1" applyFont="1" applyFill="1" applyBorder="1" applyAlignment="1">
      <alignment horizontal="right" vertical="center" indent="1"/>
    </xf>
    <xf numFmtId="10" fontId="30" fillId="10" borderId="7" xfId="0" applyNumberFormat="1" applyFont="1" applyFill="1" applyBorder="1" applyAlignment="1">
      <alignment horizontal="center" vertical="center"/>
    </xf>
    <xf numFmtId="4" fontId="32" fillId="4" borderId="7" xfId="0" applyNumberFormat="1" applyFont="1" applyFill="1" applyBorder="1" applyAlignment="1">
      <alignment horizontal="right" vertical="center" indent="1"/>
    </xf>
    <xf numFmtId="0" fontId="41" fillId="4" borderId="7" xfId="0" applyFont="1" applyFill="1" applyBorder="1" applyAlignment="1">
      <alignment horizontal="center" vertical="center"/>
    </xf>
    <xf numFmtId="10" fontId="41" fillId="4" borderId="7" xfId="0" applyNumberFormat="1" applyFont="1" applyFill="1" applyBorder="1" applyAlignment="1">
      <alignment horizontal="center" vertical="center"/>
    </xf>
    <xf numFmtId="0" fontId="38" fillId="0" borderId="0" xfId="0" applyFont="1" applyFill="1" applyAlignment="1">
      <alignment vertical="center"/>
    </xf>
    <xf numFmtId="10" fontId="42" fillId="0" borderId="7" xfId="0" applyNumberFormat="1" applyFont="1" applyBorder="1" applyAlignment="1">
      <alignment horizontal="right" vertical="center" indent="1"/>
    </xf>
    <xf numFmtId="0" fontId="43" fillId="0" borderId="0" xfId="0" applyFont="1" applyAlignment="1">
      <alignment horizontal="center" vertical="center"/>
    </xf>
    <xf numFmtId="177" fontId="0" fillId="0" borderId="0" xfId="0" applyNumberFormat="1" applyAlignment="1"/>
    <xf numFmtId="4" fontId="44" fillId="4" borderId="0" xfId="0" applyNumberFormat="1" applyFont="1" applyFill="1" applyAlignment="1">
      <alignment horizontal="right" vertical="center" wrapText="1" readingOrder="1"/>
    </xf>
    <xf numFmtId="0" fontId="33" fillId="11" borderId="0" xfId="0" applyFont="1" applyFill="1" applyAlignment="1"/>
    <xf numFmtId="194" fontId="33" fillId="11" borderId="0" xfId="0" applyNumberFormat="1" applyFont="1" applyFill="1" applyAlignment="1"/>
    <xf numFmtId="0" fontId="33" fillId="11" borderId="0" xfId="0" applyFont="1" applyFill="1" applyAlignment="1">
      <alignment horizontal="right"/>
    </xf>
    <xf numFmtId="0" fontId="33" fillId="12" borderId="5" xfId="0" applyFont="1" applyFill="1" applyBorder="1" applyAlignment="1"/>
    <xf numFmtId="2" fontId="33" fillId="0" borderId="9" xfId="0" applyNumberFormat="1" applyFont="1" applyBorder="1" applyAlignment="1"/>
    <xf numFmtId="0" fontId="36" fillId="4" borderId="0" xfId="0" applyFont="1" applyFill="1" applyAlignment="1">
      <alignment horizontal="right" vertical="center" wrapText="1"/>
    </xf>
    <xf numFmtId="4" fontId="45" fillId="4" borderId="0" xfId="0" applyNumberFormat="1" applyFont="1" applyFill="1" applyAlignment="1">
      <alignment horizontal="right" vertical="center" wrapText="1" readingOrder="1"/>
    </xf>
    <xf numFmtId="0" fontId="36" fillId="4" borderId="0" xfId="0" applyFont="1" applyFill="1" applyAlignment="1">
      <alignment horizontal="left" vertical="center" wrapText="1"/>
    </xf>
    <xf numFmtId="4" fontId="46" fillId="0" borderId="7" xfId="0" applyNumberFormat="1" applyFont="1" applyBorder="1" applyAlignment="1">
      <alignment horizontal="right" vertical="center" indent="1"/>
    </xf>
    <xf numFmtId="58" fontId="34" fillId="4" borderId="0" xfId="0" applyNumberFormat="1" applyFont="1" applyFill="1" applyAlignment="1">
      <alignment horizontal="left" vertical="center" wrapText="1"/>
    </xf>
    <xf numFmtId="4" fontId="34" fillId="4" borderId="0" xfId="0" applyNumberFormat="1" applyFont="1" applyFill="1" applyAlignment="1">
      <alignment horizontal="right" vertical="center" wrapText="1" readingOrder="1"/>
    </xf>
    <xf numFmtId="4" fontId="34" fillId="4" borderId="0" xfId="0" applyNumberFormat="1" applyFont="1" applyFill="1" applyAlignment="1">
      <alignment horizontal="right" vertical="center" wrapText="1"/>
    </xf>
    <xf numFmtId="58" fontId="36" fillId="4" borderId="0" xfId="0" applyNumberFormat="1" applyFont="1" applyFill="1" applyAlignment="1">
      <alignment horizontal="left" vertical="center" wrapText="1"/>
    </xf>
    <xf numFmtId="195" fontId="0" fillId="0" borderId="0" xfId="0" applyNumberFormat="1" applyAlignment="1">
      <alignment vertical="center"/>
    </xf>
    <xf numFmtId="10" fontId="42" fillId="0" borderId="0" xfId="0" applyNumberFormat="1" applyFont="1" applyAlignment="1">
      <alignment horizontal="right" vertical="center" indent="1"/>
    </xf>
    <xf numFmtId="0" fontId="47" fillId="0" borderId="0" xfId="0" applyFont="1" applyAlignment="1"/>
    <xf numFmtId="0" fontId="3" fillId="2" borderId="0" xfId="0" applyFont="1" applyFill="1" applyBorder="1" applyAlignment="1">
      <alignment horizontal="center"/>
    </xf>
    <xf numFmtId="0" fontId="5" fillId="3" borderId="2" xfId="0" applyFont="1" applyFill="1" applyBorder="1" applyAlignment="1">
      <alignment horizontal="center" wrapText="1"/>
    </xf>
    <xf numFmtId="0" fontId="1" fillId="0" borderId="4" xfId="0" applyFont="1" applyBorder="1" applyAlignment="1">
      <alignment horizontal="center" vertical="center" wrapText="1"/>
    </xf>
    <xf numFmtId="0" fontId="48" fillId="0" borderId="0" xfId="0" applyFont="1" applyAlignment="1">
      <alignment horizontal="left" vertical="center"/>
    </xf>
    <xf numFmtId="183" fontId="49" fillId="0" borderId="0" xfId="0" applyNumberFormat="1" applyFont="1" applyAlignment="1">
      <alignment horizontal="right" vertical="center"/>
    </xf>
    <xf numFmtId="0" fontId="50" fillId="0" borderId="0" xfId="0" applyFont="1" applyAlignment="1">
      <alignment horizontal="left" vertical="center"/>
    </xf>
    <xf numFmtId="0" fontId="51" fillId="0" borderId="0" xfId="0" applyFont="1" applyAlignment="1">
      <alignment horizontal="right" vertical="center"/>
    </xf>
    <xf numFmtId="196" fontId="52" fillId="0" borderId="0" xfId="0" applyNumberFormat="1" applyFont="1" applyAlignment="1">
      <alignment horizontal="right" vertical="center"/>
    </xf>
    <xf numFmtId="0" fontId="53" fillId="0" borderId="0" xfId="0" applyFont="1" applyAlignment="1">
      <alignment horizontal="left" vertical="center"/>
    </xf>
    <xf numFmtId="183" fontId="54" fillId="0" borderId="0" xfId="0" applyNumberFormat="1" applyFont="1" applyAlignment="1">
      <alignment horizontal="right" vertical="center"/>
    </xf>
    <xf numFmtId="197" fontId="51" fillId="0" borderId="0" xfId="0" applyNumberFormat="1" applyFont="1" applyAlignment="1">
      <alignment horizontal="center" vertical="center"/>
    </xf>
    <xf numFmtId="0" fontId="55" fillId="9" borderId="0" xfId="0" applyFont="1" applyFill="1" applyAlignment="1"/>
    <xf numFmtId="0" fontId="34" fillId="9" borderId="0" xfId="0" applyFont="1" applyFill="1" applyAlignment="1"/>
    <xf numFmtId="0" fontId="34" fillId="4" borderId="0" xfId="0" applyFont="1" applyFill="1" applyAlignment="1"/>
    <xf numFmtId="0" fontId="56" fillId="9" borderId="0" xfId="0" applyFont="1" applyFill="1" applyAlignment="1"/>
    <xf numFmtId="0" fontId="57" fillId="9" borderId="0" xfId="0" applyFont="1" applyFill="1" applyAlignment="1"/>
    <xf numFmtId="0" fontId="57" fillId="4" borderId="0" xfId="0" applyFont="1" applyFill="1" applyAlignment="1"/>
    <xf numFmtId="0" fontId="11" fillId="0" borderId="0" xfId="0" applyFont="1" applyAlignment="1">
      <alignment horizontal="right"/>
    </xf>
    <xf numFmtId="0" fontId="58" fillId="0" borderId="0" xfId="0" applyFont="1" applyAlignment="1">
      <alignment horizontal="right"/>
    </xf>
    <xf numFmtId="0" fontId="59" fillId="0" borderId="0" xfId="0" applyFont="1" applyAlignment="1"/>
    <xf numFmtId="3" fontId="0" fillId="0" borderId="0" xfId="0" applyNumberFormat="1" applyAlignment="1"/>
    <xf numFmtId="0" fontId="60" fillId="13" borderId="0" xfId="0" applyFont="1" applyFill="1" applyAlignment="1"/>
    <xf numFmtId="0" fontId="61" fillId="13" borderId="0" xfId="0" applyFont="1" applyFill="1" applyAlignment="1"/>
    <xf numFmtId="0" fontId="61" fillId="4" borderId="0" xfId="0" applyFont="1" applyFill="1" applyAlignment="1"/>
    <xf numFmtId="0" fontId="33" fillId="0" borderId="0" xfId="0" applyFont="1" applyAlignment="1">
      <alignment horizontal="center" wrapText="1"/>
    </xf>
    <xf numFmtId="15" fontId="0" fillId="0" borderId="0" xfId="0" applyNumberFormat="1" applyAlignment="1">
      <alignment wrapText="1"/>
    </xf>
    <xf numFmtId="0" fontId="0" fillId="0" borderId="0" xfId="0" applyFont="1" applyAlignment="1">
      <alignment wrapText="1"/>
    </xf>
    <xf numFmtId="4" fontId="0" fillId="0" borderId="0" xfId="0" applyNumberFormat="1" applyAlignment="1">
      <alignment wrapText="1"/>
    </xf>
    <xf numFmtId="3" fontId="0" fillId="0" borderId="0" xfId="0" applyNumberFormat="1" applyAlignment="1">
      <alignment wrapText="1"/>
    </xf>
    <xf numFmtId="0" fontId="15" fillId="2" borderId="0" xfId="0" applyFont="1" applyFill="1" applyAlignment="1"/>
    <xf numFmtId="0" fontId="13" fillId="2" borderId="0" xfId="0" applyFont="1" applyFill="1" applyAlignment="1"/>
    <xf numFmtId="0" fontId="15" fillId="2" borderId="0" xfId="0" applyFont="1" applyFill="1" applyAlignment="1">
      <alignment horizontal="center"/>
    </xf>
    <xf numFmtId="0" fontId="15" fillId="4" borderId="0" xfId="0" applyFont="1" applyFill="1" applyAlignment="1">
      <alignment horizontal="center"/>
    </xf>
    <xf numFmtId="0" fontId="0" fillId="0" borderId="0" xfId="0" applyFont="1" applyAlignment="1">
      <alignment horizontal="left" wrapText="1"/>
    </xf>
    <xf numFmtId="0" fontId="62" fillId="0" borderId="0" xfId="0" applyFont="1" applyAlignment="1"/>
    <xf numFmtId="0" fontId="7" fillId="0" borderId="0" xfId="0" applyFont="1" applyAlignment="1"/>
    <xf numFmtId="0" fontId="63" fillId="14" borderId="0" xfId="0" applyFont="1" applyFill="1" applyBorder="1" applyAlignment="1">
      <alignment horizontal="center" vertical="center"/>
    </xf>
    <xf numFmtId="0" fontId="4" fillId="0" borderId="0" xfId="0" applyFont="1" applyAlignment="1">
      <alignment horizontal="right" wrapText="1"/>
    </xf>
    <xf numFmtId="0" fontId="5" fillId="3" borderId="5" xfId="0" applyFont="1" applyFill="1" applyBorder="1" applyAlignment="1">
      <alignment horizontal="center" wrapText="1"/>
    </xf>
    <xf numFmtId="0" fontId="1" fillId="0" borderId="10" xfId="0" applyFont="1" applyBorder="1" applyAlignment="1">
      <alignment horizontal="center" vertical="center" wrapText="1"/>
    </xf>
    <xf numFmtId="0" fontId="2" fillId="0" borderId="11" xfId="0" applyFont="1" applyBorder="1" applyAlignment="1"/>
    <xf numFmtId="0" fontId="7" fillId="0" borderId="11" xfId="0" applyFont="1" applyBorder="1" applyAlignment="1"/>
    <xf numFmtId="0" fontId="7" fillId="5" borderId="0" xfId="0" applyFont="1" applyFill="1" applyAlignment="1"/>
    <xf numFmtId="0" fontId="64" fillId="0" borderId="11" xfId="0" applyFont="1" applyBorder="1" applyAlignment="1"/>
    <xf numFmtId="0" fontId="65" fillId="0" borderId="11" xfId="0" applyFont="1" applyBorder="1" applyAlignment="1"/>
    <xf numFmtId="0" fontId="66" fillId="8" borderId="11" xfId="0" applyFont="1" applyFill="1" applyBorder="1" applyAlignment="1"/>
    <xf numFmtId="177" fontId="1" fillId="8" borderId="4" xfId="0" applyNumberFormat="1" applyFont="1" applyFill="1" applyBorder="1" applyAlignment="1"/>
    <xf numFmtId="0" fontId="67" fillId="0" borderId="11" xfId="0" applyFont="1" applyBorder="1" applyAlignment="1"/>
    <xf numFmtId="177" fontId="7" fillId="0" borderId="0" xfId="0" applyNumberFormat="1" applyFont="1" applyAlignment="1"/>
    <xf numFmtId="177" fontId="7" fillId="5" borderId="0" xfId="0" applyNumberFormat="1" applyFont="1" applyFill="1" applyAlignment="1"/>
    <xf numFmtId="177" fontId="68" fillId="0" borderId="0" xfId="0" applyNumberFormat="1" applyFont="1" applyAlignment="1"/>
    <xf numFmtId="177" fontId="68" fillId="5" borderId="0" xfId="0" applyNumberFormat="1" applyFont="1" applyFill="1" applyAlignment="1"/>
    <xf numFmtId="198" fontId="2" fillId="0" borderId="0" xfId="0" applyNumberFormat="1" applyFont="1" applyAlignment="1"/>
    <xf numFmtId="0" fontId="66" fillId="15" borderId="11" xfId="0" applyFont="1" applyFill="1" applyBorder="1" applyAlignment="1"/>
    <xf numFmtId="177" fontId="2" fillId="15" borderId="0" xfId="0" applyNumberFormat="1" applyFont="1" applyFill="1" applyAlignment="1"/>
    <xf numFmtId="0" fontId="2" fillId="15" borderId="11" xfId="0" applyFont="1" applyFill="1" applyBorder="1" applyAlignment="1"/>
    <xf numFmtId="177" fontId="1" fillId="15" borderId="12" xfId="0" applyNumberFormat="1" applyFont="1" applyFill="1" applyBorder="1" applyAlignment="1"/>
    <xf numFmtId="0" fontId="66" fillId="3" borderId="5" xfId="0" applyFont="1" applyFill="1" applyBorder="1" applyAlignment="1">
      <alignment horizontal="center" wrapText="1"/>
    </xf>
    <xf numFmtId="0" fontId="69" fillId="0" borderId="0" xfId="0" applyFont="1" applyAlignment="1"/>
    <xf numFmtId="0" fontId="66" fillId="0" borderId="11" xfId="0" applyFont="1" applyBorder="1" applyAlignment="1"/>
    <xf numFmtId="177" fontId="66" fillId="0" borderId="0" xfId="0" applyNumberFormat="1" applyFont="1" applyAlignment="1"/>
    <xf numFmtId="0" fontId="4" fillId="0" borderId="0" xfId="0" applyFont="1" applyAlignment="1">
      <alignment horizontal="center"/>
    </xf>
    <xf numFmtId="0" fontId="6" fillId="3" borderId="5" xfId="0" applyFont="1" applyFill="1" applyBorder="1" applyAlignment="1">
      <alignment horizontal="left" vertical="center" wrapText="1"/>
    </xf>
    <xf numFmtId="0" fontId="9" fillId="5" borderId="2" xfId="0" applyFont="1" applyFill="1" applyBorder="1" applyAlignment="1">
      <alignment horizontal="center" vertical="center"/>
    </xf>
    <xf numFmtId="0" fontId="0" fillId="0" borderId="13" xfId="0" applyBorder="1" applyAlignment="1"/>
    <xf numFmtId="0" fontId="0" fillId="5" borderId="0" xfId="0" applyFill="1" applyAlignment="1"/>
    <xf numFmtId="0" fontId="2" fillId="0" borderId="0" xfId="0" applyFont="1" applyAlignment="1">
      <alignment vertical="center"/>
    </xf>
    <xf numFmtId="0" fontId="1" fillId="0" borderId="11" xfId="0" applyFont="1" applyBorder="1" applyAlignment="1">
      <alignment vertical="center"/>
    </xf>
    <xf numFmtId="0" fontId="1" fillId="0" borderId="0" xfId="0" applyFont="1" applyAlignment="1">
      <alignment vertical="center"/>
    </xf>
    <xf numFmtId="0" fontId="1" fillId="5" borderId="0" xfId="0" applyFont="1" applyFill="1" applyAlignment="1"/>
    <xf numFmtId="0" fontId="2" fillId="0" borderId="11" xfId="0" applyFont="1" applyBorder="1" applyAlignment="1">
      <alignment vertical="center"/>
    </xf>
    <xf numFmtId="10" fontId="2" fillId="0" borderId="0" xfId="0" applyNumberFormat="1" applyFont="1" applyAlignment="1">
      <alignment vertical="center"/>
    </xf>
    <xf numFmtId="10" fontId="2" fillId="5" borderId="0" xfId="0" applyNumberFormat="1" applyFont="1" applyFill="1" applyAlignment="1">
      <alignment vertical="center"/>
    </xf>
    <xf numFmtId="9" fontId="2" fillId="5" borderId="0" xfId="0" applyNumberFormat="1" applyFont="1" applyFill="1" applyAlignment="1">
      <alignment vertical="center"/>
    </xf>
    <xf numFmtId="0" fontId="2" fillId="0" borderId="5" xfId="0" applyFont="1" applyBorder="1" applyAlignment="1">
      <alignment vertical="center" wrapText="1"/>
    </xf>
    <xf numFmtId="0" fontId="1" fillId="5" borderId="0" xfId="0" applyFont="1" applyFill="1" applyAlignment="1">
      <alignment vertical="center"/>
    </xf>
    <xf numFmtId="0" fontId="1" fillId="0" borderId="5" xfId="0" applyFont="1" applyBorder="1" applyAlignment="1">
      <alignment vertical="center"/>
    </xf>
    <xf numFmtId="176" fontId="2" fillId="0" borderId="0" xfId="0" applyNumberFormat="1" applyFont="1" applyAlignment="1">
      <alignment vertical="center"/>
    </xf>
    <xf numFmtId="176" fontId="2" fillId="5" borderId="0" xfId="0" applyNumberFormat="1" applyFont="1" applyFill="1" applyAlignment="1">
      <alignment vertical="center"/>
    </xf>
    <xf numFmtId="0" fontId="2" fillId="5" borderId="0" xfId="0" applyFont="1" applyFill="1" applyAlignment="1">
      <alignment vertical="center"/>
    </xf>
    <xf numFmtId="0" fontId="2" fillId="0" borderId="5" xfId="0" applyFont="1" applyBorder="1" applyAlignment="1">
      <alignment vertical="center"/>
    </xf>
    <xf numFmtId="2" fontId="2" fillId="0" borderId="0" xfId="0" applyNumberFormat="1" applyFont="1" applyAlignment="1">
      <alignment vertical="center"/>
    </xf>
    <xf numFmtId="2" fontId="2" fillId="5" borderId="0" xfId="0" applyNumberFormat="1" applyFont="1" applyFill="1" applyAlignment="1">
      <alignment vertical="center"/>
    </xf>
    <xf numFmtId="2" fontId="2" fillId="16" borderId="0" xfId="0" applyNumberFormat="1" applyFont="1" applyFill="1" applyAlignment="1">
      <alignment vertical="center"/>
    </xf>
    <xf numFmtId="9" fontId="2" fillId="16" borderId="0" xfId="0" applyNumberFormat="1" applyFont="1" applyFill="1" applyAlignment="1">
      <alignment vertical="center"/>
    </xf>
    <xf numFmtId="176" fontId="2" fillId="16" borderId="0" xfId="0" applyNumberFormat="1" applyFont="1" applyFill="1" applyAlignment="1">
      <alignment vertical="center"/>
    </xf>
    <xf numFmtId="10" fontId="2" fillId="17" borderId="0" xfId="0" applyNumberFormat="1" applyFont="1" applyFill="1" applyAlignment="1">
      <alignment vertical="center"/>
    </xf>
    <xf numFmtId="176" fontId="0" fillId="0" borderId="0" xfId="0" applyNumberFormat="1" applyAlignment="1"/>
    <xf numFmtId="0" fontId="5" fillId="3" borderId="5" xfId="0" applyFont="1" applyFill="1" applyBorder="1" applyAlignment="1">
      <alignment horizontal="center"/>
    </xf>
    <xf numFmtId="0" fontId="1" fillId="0" borderId="14" xfId="0" applyFont="1" applyBorder="1" applyAlignment="1">
      <alignment horizontal="center" vertical="center" wrapText="1"/>
    </xf>
    <xf numFmtId="0" fontId="7" fillId="0" borderId="11" xfId="0" applyFont="1" applyBorder="1" applyAlignment="1">
      <alignment horizontal="center"/>
    </xf>
    <xf numFmtId="0" fontId="7" fillId="0" borderId="0" xfId="0" applyFont="1" applyAlignment="1">
      <alignment horizontal="center"/>
    </xf>
    <xf numFmtId="0" fontId="1" fillId="0" borderId="11" xfId="0" applyFont="1" applyBorder="1" applyAlignment="1">
      <alignment horizontal="left"/>
    </xf>
    <xf numFmtId="176" fontId="0" fillId="5" borderId="0" xfId="0" applyNumberFormat="1" applyFill="1" applyAlignment="1"/>
    <xf numFmtId="0" fontId="70" fillId="0" borderId="11" xfId="0" applyFont="1" applyBorder="1" applyAlignment="1"/>
    <xf numFmtId="0" fontId="1" fillId="0" borderId="11" xfId="0" applyFont="1" applyBorder="1" applyAlignment="1"/>
    <xf numFmtId="176" fontId="71" fillId="0" borderId="15" xfId="0" applyNumberFormat="1" applyFont="1" applyBorder="1" applyAlignment="1"/>
    <xf numFmtId="176" fontId="71" fillId="0" borderId="4" xfId="0" applyNumberFormat="1" applyFont="1" applyBorder="1" applyAlignment="1"/>
    <xf numFmtId="176" fontId="1" fillId="5" borderId="4" xfId="0" applyNumberFormat="1" applyFont="1" applyFill="1" applyBorder="1" applyAlignment="1"/>
    <xf numFmtId="177" fontId="0" fillId="5" borderId="0" xfId="0" applyNumberFormat="1" applyFill="1" applyAlignment="1"/>
    <xf numFmtId="0" fontId="1" fillId="8" borderId="14" xfId="0" applyFont="1" applyFill="1" applyBorder="1" applyAlignment="1">
      <alignment horizontal="center"/>
    </xf>
    <xf numFmtId="176" fontId="1" fillId="8" borderId="4" xfId="0" applyNumberFormat="1" applyFont="1" applyFill="1" applyBorder="1" applyAlignment="1"/>
    <xf numFmtId="9" fontId="0" fillId="5" borderId="0" xfId="0" applyNumberFormat="1" applyFill="1" applyAlignment="1"/>
    <xf numFmtId="0" fontId="1" fillId="0" borderId="11" xfId="0" applyFont="1" applyBorder="1" applyAlignment="1">
      <alignment horizontal="center"/>
    </xf>
    <xf numFmtId="176" fontId="72" fillId="5" borderId="0" xfId="0" applyNumberFormat="1" applyFont="1" applyFill="1" applyAlignment="1"/>
    <xf numFmtId="0" fontId="1" fillId="0" borderId="0" xfId="0" applyFont="1" applyAlignment="1">
      <alignment horizontal="left"/>
    </xf>
    <xf numFmtId="176" fontId="1" fillId="0" borderId="15" xfId="0" applyNumberFormat="1" applyFont="1" applyBorder="1" applyAlignment="1"/>
    <xf numFmtId="0" fontId="4" fillId="0" borderId="0" xfId="0" applyFont="1" applyAlignment="1"/>
    <xf numFmtId="181" fontId="4" fillId="0" borderId="0" xfId="0" applyNumberFormat="1" applyFont="1" applyAlignment="1"/>
    <xf numFmtId="0" fontId="1" fillId="0" borderId="11" xfId="0" applyFont="1" applyBorder="1" applyAlignment="1">
      <alignment horizontal="center" vertical="center" wrapText="1"/>
    </xf>
    <xf numFmtId="0" fontId="1" fillId="0" borderId="0" xfId="0" applyFont="1" applyAlignment="1">
      <alignment horizontal="center" vertical="center" wrapText="1"/>
    </xf>
    <xf numFmtId="0" fontId="2" fillId="0" borderId="11" xfId="0" applyFont="1" applyBorder="1" applyAlignment="1">
      <alignment wrapText="1"/>
    </xf>
    <xf numFmtId="0" fontId="1" fillId="8" borderId="14" xfId="0" applyFont="1" applyFill="1" applyBorder="1" applyAlignment="1">
      <alignment wrapText="1"/>
    </xf>
    <xf numFmtId="0" fontId="1" fillId="0" borderId="11" xfId="0" applyFont="1" applyBorder="1" applyAlignment="1">
      <alignment wrapText="1"/>
    </xf>
    <xf numFmtId="176" fontId="1" fillId="5" borderId="0" xfId="0" applyNumberFormat="1" applyFont="1" applyFill="1" applyAlignment="1"/>
    <xf numFmtId="0" fontId="2" fillId="0" borderId="14" xfId="0" applyFont="1" applyBorder="1" applyAlignment="1">
      <alignment wrapText="1"/>
    </xf>
    <xf numFmtId="176" fontId="2" fillId="0" borderId="4" xfId="0" applyNumberFormat="1" applyFont="1" applyBorder="1" applyAlignment="1"/>
    <xf numFmtId="176" fontId="2" fillId="5" borderId="4" xfId="0" applyNumberFormat="1" applyFont="1" applyFill="1" applyBorder="1" applyAlignment="1"/>
    <xf numFmtId="177" fontId="1" fillId="0" borderId="0" xfId="0" applyNumberFormat="1" applyFont="1" applyAlignment="1"/>
    <xf numFmtId="177" fontId="1" fillId="5" borderId="0" xfId="0" applyNumberFormat="1" applyFont="1" applyFill="1" applyAlignment="1"/>
    <xf numFmtId="195" fontId="2" fillId="5" borderId="0" xfId="0" applyNumberFormat="1" applyFont="1" applyFill="1" applyAlignment="1"/>
    <xf numFmtId="0" fontId="1" fillId="0" borderId="11" xfId="0" applyFont="1" applyBorder="1" applyAlignment="1">
      <alignment horizontal="left" vertical="center" wrapText="1"/>
    </xf>
    <xf numFmtId="176" fontId="1" fillId="0" borderId="0" xfId="0" applyNumberFormat="1" applyFont="1" applyAlignment="1">
      <alignment vertical="center"/>
    </xf>
    <xf numFmtId="176" fontId="1" fillId="17" borderId="0" xfId="0" applyNumberFormat="1" applyFont="1" applyFill="1" applyAlignment="1">
      <alignment vertical="center"/>
    </xf>
    <xf numFmtId="177" fontId="10" fillId="0" borderId="0" xfId="0" applyNumberFormat="1" applyFont="1" applyAlignment="1"/>
    <xf numFmtId="0" fontId="1" fillId="8" borderId="16" xfId="0" applyFont="1" applyFill="1" applyBorder="1" applyAlignment="1">
      <alignment wrapText="1"/>
    </xf>
    <xf numFmtId="176" fontId="1" fillId="8" borderId="12" xfId="0" applyNumberFormat="1" applyFont="1" applyFill="1" applyBorder="1" applyAlignment="1"/>
    <xf numFmtId="0" fontId="1" fillId="4" borderId="11" xfId="0" applyFont="1" applyFill="1" applyBorder="1" applyAlignment="1">
      <alignment wrapText="1"/>
    </xf>
    <xf numFmtId="176" fontId="1" fillId="4" borderId="0" xfId="0" applyNumberFormat="1" applyFont="1" applyFill="1" applyAlignment="1"/>
    <xf numFmtId="177" fontId="1" fillId="4" borderId="0" xfId="0" applyNumberFormat="1" applyFont="1" applyFill="1" applyAlignment="1"/>
    <xf numFmtId="0" fontId="2" fillId="0" borderId="11" xfId="0" applyFont="1" applyBorder="1" applyAlignment="1">
      <alignment horizontal="left" wrapText="1"/>
    </xf>
    <xf numFmtId="176" fontId="73" fillId="0" borderId="0" xfId="0" applyNumberFormat="1" applyFont="1" applyAlignment="1">
      <alignment horizontal="center" vertical="center"/>
    </xf>
    <xf numFmtId="176" fontId="73" fillId="0" borderId="0" xfId="0" applyNumberFormat="1" applyFont="1" applyAlignment="1">
      <alignment horizontal="right" vertical="center"/>
    </xf>
    <xf numFmtId="176" fontId="2" fillId="0" borderId="11" xfId="0" applyNumberFormat="1" applyFont="1" applyBorder="1" applyAlignment="1">
      <alignment wrapText="1"/>
    </xf>
    <xf numFmtId="176" fontId="10" fillId="0" borderId="0" xfId="0" applyNumberFormat="1" applyFont="1" applyAlignment="1">
      <alignment wrapText="1"/>
    </xf>
    <xf numFmtId="0" fontId="4" fillId="0" borderId="11" xfId="0" applyFont="1" applyBorder="1" applyAlignment="1">
      <alignment horizontal="right" wrapText="1"/>
    </xf>
    <xf numFmtId="9" fontId="4" fillId="5" borderId="17" xfId="0" applyNumberFormat="1" applyFont="1" applyFill="1" applyBorder="1" applyAlignment="1"/>
    <xf numFmtId="0" fontId="74" fillId="0" borderId="0" xfId="0" applyFont="1" applyAlignment="1"/>
    <xf numFmtId="0" fontId="1" fillId="0" borderId="10" xfId="0" applyFont="1" applyBorder="1" applyAlignment="1">
      <alignment horizontal="center" vertical="center"/>
    </xf>
    <xf numFmtId="9" fontId="75" fillId="0" borderId="0" xfId="0" applyNumberFormat="1" applyFont="1" applyAlignment="1"/>
    <xf numFmtId="9" fontId="4" fillId="18" borderId="17" xfId="0" applyNumberFormat="1" applyFont="1" applyFill="1" applyBorder="1" applyAlignment="1"/>
    <xf numFmtId="199" fontId="10" fillId="0" borderId="0" xfId="0" applyNumberFormat="1" applyFont="1" applyAlignment="1"/>
    <xf numFmtId="9" fontId="4" fillId="18" borderId="0" xfId="0" applyNumberFormat="1" applyFont="1" applyFill="1" applyAlignment="1"/>
    <xf numFmtId="0" fontId="4" fillId="0" borderId="0" xfId="0" applyFont="1" applyBorder="1" applyAlignment="1">
      <alignment horizontal="left" wrapText="1"/>
    </xf>
    <xf numFmtId="0" fontId="4" fillId="0" borderId="2" xfId="0" applyFont="1" applyBorder="1" applyAlignment="1">
      <alignment vertical="center"/>
    </xf>
    <xf numFmtId="0" fontId="4" fillId="0" borderId="2" xfId="0" applyFont="1" applyBorder="1" applyAlignment="1">
      <alignment wrapText="1"/>
    </xf>
    <xf numFmtId="9" fontId="4" fillId="0" borderId="0" xfId="0" applyNumberFormat="1" applyFont="1" applyAlignment="1"/>
    <xf numFmtId="176" fontId="10" fillId="0" borderId="1" xfId="0" applyNumberFormat="1" applyFont="1" applyBorder="1" applyAlignment="1"/>
    <xf numFmtId="195" fontId="2" fillId="0" borderId="11" xfId="0" applyNumberFormat="1" applyFont="1" applyBorder="1" applyAlignment="1"/>
    <xf numFmtId="10" fontId="4" fillId="0" borderId="0" xfId="0" applyNumberFormat="1" applyFont="1" applyAlignment="1"/>
    <xf numFmtId="179" fontId="4" fillId="18" borderId="17" xfId="0" applyNumberFormat="1" applyFont="1" applyFill="1" applyBorder="1" applyAlignment="1"/>
    <xf numFmtId="10" fontId="4" fillId="18" borderId="0" xfId="0" applyNumberFormat="1" applyFont="1" applyFill="1" applyAlignment="1"/>
    <xf numFmtId="0" fontId="2" fillId="0" borderId="11" xfId="0" applyFont="1" applyBorder="1" applyAlignment="1">
      <alignment horizontal="left"/>
    </xf>
    <xf numFmtId="176" fontId="76" fillId="0" borderId="0" xfId="0" applyNumberFormat="1" applyFont="1" applyAlignment="1"/>
    <xf numFmtId="0" fontId="4" fillId="0" borderId="11" xfId="0" applyFont="1" applyBorder="1" applyAlignment="1">
      <alignment horizontal="right"/>
    </xf>
    <xf numFmtId="2" fontId="76" fillId="0" borderId="0" xfId="0" applyNumberFormat="1" applyFont="1" applyAlignment="1"/>
    <xf numFmtId="0" fontId="77" fillId="0" borderId="11" xfId="0" applyFont="1" applyBorder="1" applyAlignment="1">
      <alignment horizontal="right"/>
    </xf>
    <xf numFmtId="0" fontId="78" fillId="8" borderId="0" xfId="0" applyFont="1" applyFill="1" applyBorder="1" applyAlignment="1">
      <alignment horizontal="center"/>
    </xf>
    <xf numFmtId="177" fontId="71" fillId="0" borderId="0" xfId="0" applyNumberFormat="1" applyFont="1" applyAlignment="1"/>
    <xf numFmtId="177" fontId="1" fillId="0" borderId="18" xfId="0" applyNumberFormat="1" applyFont="1" applyBorder="1" applyAlignment="1"/>
    <xf numFmtId="177" fontId="1" fillId="0" borderId="12" xfId="0" applyNumberFormat="1" applyFont="1" applyBorder="1" applyAlignment="1"/>
    <xf numFmtId="177" fontId="1" fillId="5" borderId="12" xfId="0" applyNumberFormat="1" applyFont="1" applyFill="1" applyBorder="1" applyAlignment="1"/>
    <xf numFmtId="2" fontId="1" fillId="0" borderId="0" xfId="0" applyNumberFormat="1" applyFont="1" applyAlignment="1"/>
    <xf numFmtId="177" fontId="1" fillId="0" borderId="1" xfId="0" applyNumberFormat="1" applyFont="1" applyBorder="1" applyAlignment="1"/>
    <xf numFmtId="177" fontId="1" fillId="0" borderId="19" xfId="0" applyNumberFormat="1" applyFont="1" applyBorder="1" applyAlignment="1"/>
    <xf numFmtId="0" fontId="1" fillId="8" borderId="11" xfId="0" applyFont="1" applyFill="1" applyBorder="1" applyAlignment="1">
      <alignment horizontal="center"/>
    </xf>
    <xf numFmtId="177" fontId="1" fillId="0" borderId="20" xfId="0" applyNumberFormat="1" applyFont="1" applyBorder="1" applyAlignment="1"/>
    <xf numFmtId="0" fontId="78" fillId="8" borderId="21" xfId="0" applyFont="1" applyFill="1" applyBorder="1" applyAlignment="1">
      <alignment horizontal="center"/>
    </xf>
    <xf numFmtId="9" fontId="2" fillId="5" borderId="0" xfId="0" applyNumberFormat="1" applyFont="1" applyFill="1" applyAlignment="1"/>
    <xf numFmtId="9" fontId="1" fillId="5" borderId="0" xfId="0" applyNumberFormat="1" applyFont="1" applyFill="1" applyAlignment="1"/>
    <xf numFmtId="176" fontId="1" fillId="0" borderId="19" xfId="0" applyNumberFormat="1" applyFont="1" applyBorder="1" applyAlignment="1"/>
    <xf numFmtId="0" fontId="4" fillId="0" borderId="11" xfId="0" applyFont="1" applyBorder="1" applyAlignment="1"/>
    <xf numFmtId="177" fontId="4" fillId="0" borderId="0" xfId="0" applyNumberFormat="1" applyFont="1" applyAlignment="1"/>
    <xf numFmtId="176" fontId="4" fillId="5" borderId="0" xfId="0" applyNumberFormat="1" applyFont="1" applyFill="1" applyAlignment="1"/>
    <xf numFmtId="200" fontId="2" fillId="5" borderId="0" xfId="0" applyNumberFormat="1" applyFont="1" applyFill="1" applyAlignment="1"/>
    <xf numFmtId="180" fontId="2" fillId="5" borderId="0" xfId="0" applyNumberFormat="1" applyFont="1" applyFill="1" applyAlignment="1"/>
    <xf numFmtId="176" fontId="1" fillId="0" borderId="18" xfId="0" applyNumberFormat="1" applyFont="1" applyBorder="1" applyAlignment="1"/>
    <xf numFmtId="176" fontId="1" fillId="0" borderId="12" xfId="0" applyNumberFormat="1" applyFont="1" applyBorder="1" applyAlignment="1"/>
    <xf numFmtId="176" fontId="1" fillId="5" borderId="12" xfId="0" applyNumberFormat="1" applyFont="1" applyFill="1" applyBorder="1" applyAlignment="1"/>
    <xf numFmtId="179" fontId="2" fillId="0" borderId="0" xfId="0" applyNumberFormat="1" applyFont="1" applyAlignment="1"/>
    <xf numFmtId="176" fontId="71" fillId="0" borderId="0" xfId="0" applyNumberFormat="1" applyFont="1" applyAlignment="1"/>
    <xf numFmtId="0" fontId="4" fillId="0" borderId="11" xfId="0" applyFont="1" applyBorder="1" applyAlignment="1">
      <alignment wrapText="1"/>
    </xf>
    <xf numFmtId="9" fontId="4" fillId="5" borderId="0" xfId="0" applyNumberFormat="1" applyFont="1" applyFill="1" applyAlignment="1"/>
    <xf numFmtId="9" fontId="79" fillId="0" borderId="0" xfId="0" applyNumberFormat="1" applyFont="1" applyAlignment="1"/>
    <xf numFmtId="10" fontId="4" fillId="18" borderId="17" xfId="0" applyNumberFormat="1" applyFont="1" applyFill="1" applyBorder="1" applyAlignment="1"/>
    <xf numFmtId="10" fontId="79" fillId="0" borderId="0" xfId="0" applyNumberFormat="1" applyFont="1" applyAlignment="1"/>
    <xf numFmtId="10" fontId="4" fillId="0" borderId="11" xfId="0" applyNumberFormat="1" applyFont="1" applyBorder="1" applyAlignment="1"/>
    <xf numFmtId="0" fontId="80" fillId="0" borderId="0" xfId="0" applyFont="1" applyBorder="1" applyAlignment="1"/>
    <xf numFmtId="0" fontId="66" fillId="0" borderId="0" xfId="0" applyFont="1" applyAlignment="1"/>
    <xf numFmtId="176" fontId="66" fillId="0" borderId="0" xfId="0" applyNumberFormat="1" applyFont="1" applyAlignment="1"/>
    <xf numFmtId="0" fontId="81" fillId="0" borderId="0" xfId="0" applyFont="1" applyAlignment="1"/>
    <xf numFmtId="176" fontId="81" fillId="0" borderId="0" xfId="0" applyNumberFormat="1" applyFont="1" applyAlignment="1"/>
    <xf numFmtId="0" fontId="4" fillId="0" borderId="0" xfId="0" applyFont="1" applyAlignment="1">
      <alignment horizontal="right"/>
    </xf>
    <xf numFmtId="179" fontId="10" fillId="0" borderId="0" xfId="0" applyNumberFormat="1" applyFont="1" applyAlignment="1"/>
    <xf numFmtId="10" fontId="10" fillId="0" borderId="0" xfId="0" applyNumberFormat="1" applyFont="1" applyAlignment="1"/>
    <xf numFmtId="10" fontId="2" fillId="5" borderId="0" xfId="0" applyNumberFormat="1" applyFont="1" applyFill="1" applyAlignment="1"/>
    <xf numFmtId="10" fontId="75" fillId="0" borderId="0" xfId="0" applyNumberFormat="1" applyFont="1" applyAlignment="1"/>
    <xf numFmtId="10" fontId="77" fillId="0" borderId="0" xfId="0" applyNumberFormat="1" applyFont="1" applyAlignment="1"/>
    <xf numFmtId="10" fontId="77" fillId="5" borderId="0" xfId="0" applyNumberFormat="1" applyFont="1" applyFill="1" applyAlignment="1"/>
    <xf numFmtId="9" fontId="2" fillId="18" borderId="17" xfId="0" applyNumberFormat="1" applyFont="1" applyFill="1" applyBorder="1" applyAlignment="1"/>
    <xf numFmtId="9" fontId="75" fillId="0" borderId="1" xfId="0" applyNumberFormat="1" applyFont="1" applyBorder="1" applyAlignment="1"/>
    <xf numFmtId="10" fontId="2" fillId="18" borderId="17" xfId="0" applyNumberFormat="1" applyFont="1" applyFill="1" applyBorder="1" applyAlignment="1"/>
    <xf numFmtId="0" fontId="82" fillId="0" borderId="0" xfId="0" applyFont="1" applyAlignment="1">
      <alignment horizontal="center"/>
    </xf>
    <xf numFmtId="0" fontId="82" fillId="0" borderId="11" xfId="0" applyFont="1" applyBorder="1" applyAlignment="1">
      <alignment horizontal="center" wrapText="1"/>
    </xf>
    <xf numFmtId="0" fontId="2" fillId="0" borderId="1" xfId="0" applyFont="1" applyBorder="1" applyAlignment="1"/>
    <xf numFmtId="0" fontId="83" fillId="0" borderId="0" xfId="0" applyFont="1" applyAlignment="1"/>
    <xf numFmtId="0" fontId="1" fillId="0" borderId="1" xfId="0" applyFont="1" applyBorder="1" applyAlignment="1"/>
    <xf numFmtId="176" fontId="1" fillId="0" borderId="0" xfId="0" applyNumberFormat="1" applyFont="1" applyAlignment="1">
      <alignment horizontal="right"/>
    </xf>
    <xf numFmtId="10" fontId="2" fillId="0" borderId="1" xfId="0" applyNumberFormat="1" applyFont="1" applyBorder="1" applyAlignment="1"/>
    <xf numFmtId="179" fontId="1" fillId="5" borderId="0" xfId="0" applyNumberFormat="1" applyFont="1" applyFill="1" applyAlignment="1"/>
    <xf numFmtId="9" fontId="2" fillId="0" borderId="1" xfId="0" applyNumberFormat="1" applyFont="1" applyBorder="1" applyAlignment="1"/>
    <xf numFmtId="0" fontId="7" fillId="0" borderId="1" xfId="0" applyFont="1" applyBorder="1" applyAlignment="1">
      <alignment horizontal="right" vertical="center" wrapText="1"/>
    </xf>
    <xf numFmtId="0" fontId="7" fillId="0" borderId="0" xfId="0" applyFont="1" applyAlignment="1">
      <alignment horizontal="right" vertical="center" wrapText="1"/>
    </xf>
    <xf numFmtId="179" fontId="4" fillId="0" borderId="0" xfId="0" applyNumberFormat="1" applyFont="1" applyAlignment="1"/>
    <xf numFmtId="0" fontId="6" fillId="3" borderId="5" xfId="0" applyFont="1" applyFill="1" applyBorder="1" applyAlignment="1">
      <alignment horizontal="center"/>
    </xf>
    <xf numFmtId="0" fontId="2" fillId="0" borderId="0" xfId="0" applyFont="1" applyAlignment="1">
      <alignment wrapText="1"/>
    </xf>
    <xf numFmtId="0" fontId="1" fillId="0" borderId="0" xfId="0" applyFont="1" applyBorder="1" applyAlignment="1">
      <alignment horizontal="center" wrapText="1"/>
    </xf>
    <xf numFmtId="9" fontId="1" fillId="0" borderId="4" xfId="0" applyNumberFormat="1" applyFont="1" applyBorder="1" applyAlignment="1"/>
    <xf numFmtId="0" fontId="1" fillId="0" borderId="0" xfId="0" applyFont="1" applyAlignment="1">
      <alignment wrapText="1"/>
    </xf>
    <xf numFmtId="0" fontId="1" fillId="0" borderId="0" xfId="0" applyFont="1" applyAlignment="1">
      <alignment vertical="center" wrapText="1"/>
    </xf>
    <xf numFmtId="179" fontId="10" fillId="0" borderId="0" xfId="0" applyNumberFormat="1" applyFont="1" applyAlignment="1">
      <alignment vertical="center"/>
    </xf>
    <xf numFmtId="0" fontId="1" fillId="0" borderId="0" xfId="0" applyFont="1" applyAlignment="1">
      <alignment horizontal="center" wrapText="1"/>
    </xf>
    <xf numFmtId="9" fontId="1" fillId="0" borderId="0" xfId="0" applyNumberFormat="1" applyFont="1" applyAlignment="1"/>
    <xf numFmtId="0" fontId="70" fillId="0" borderId="0" xfId="0" applyFont="1" applyAlignment="1"/>
    <xf numFmtId="0" fontId="2" fillId="0" borderId="0" xfId="0" applyFont="1" applyAlignment="1">
      <alignment horizontal="left"/>
    </xf>
    <xf numFmtId="0" fontId="1" fillId="0" borderId="4" xfId="0" applyFont="1" applyBorder="1" applyAlignment="1">
      <alignment horizontal="center"/>
    </xf>
    <xf numFmtId="0" fontId="6" fillId="3" borderId="15" xfId="0" applyFont="1" applyFill="1" applyBorder="1" applyAlignment="1">
      <alignment horizontal="center" wrapText="1"/>
    </xf>
    <xf numFmtId="0" fontId="67" fillId="0" borderId="0" xfId="0" applyFont="1" applyAlignment="1"/>
    <xf numFmtId="0" fontId="1" fillId="0" borderId="0" xfId="0" applyFont="1" applyBorder="1" applyAlignment="1"/>
    <xf numFmtId="201" fontId="10" fillId="0" borderId="0" xfId="0" applyNumberFormat="1" applyFont="1" applyAlignment="1"/>
    <xf numFmtId="183" fontId="84" fillId="0" borderId="0" xfId="0" applyNumberFormat="1" applyFont="1" applyAlignment="1"/>
    <xf numFmtId="201" fontId="1" fillId="0" borderId="0" xfId="0" applyNumberFormat="1" applyFont="1" applyAlignment="1"/>
    <xf numFmtId="0" fontId="1" fillId="0" borderId="4" xfId="0" applyFont="1" applyBorder="1" applyAlignment="1"/>
    <xf numFmtId="201" fontId="1" fillId="0" borderId="4" xfId="0" applyNumberFormat="1" applyFont="1" applyBorder="1" applyAlignment="1"/>
    <xf numFmtId="4" fontId="0" fillId="0" borderId="0" xfId="0" applyNumberFormat="1" applyAlignment="1"/>
    <xf numFmtId="183" fontId="27" fillId="0" borderId="0" xfId="0" applyNumberFormat="1" applyFont="1" applyAlignment="1"/>
    <xf numFmtId="183" fontId="59" fillId="0" borderId="0" xfId="0" applyNumberFormat="1" applyFont="1" applyAlignment="1"/>
    <xf numFmtId="183" fontId="23" fillId="0" borderId="0" xfId="0" applyNumberFormat="1" applyFont="1" applyAlignment="1"/>
    <xf numFmtId="201" fontId="10" fillId="5" borderId="0" xfId="0" applyNumberFormat="1" applyFont="1" applyFill="1" applyAlignment="1"/>
    <xf numFmtId="0" fontId="67" fillId="5" borderId="0" xfId="0" applyFont="1" applyFill="1" applyAlignment="1"/>
    <xf numFmtId="201" fontId="1" fillId="5" borderId="4" xfId="0" applyNumberFormat="1" applyFont="1" applyFill="1" applyBorder="1" applyAlignment="1"/>
    <xf numFmtId="201" fontId="67" fillId="0" borderId="0" xfId="0" applyNumberFormat="1" applyFont="1" applyAlignment="1"/>
    <xf numFmtId="0" fontId="85" fillId="0" borderId="0" xfId="0" applyFont="1" applyAlignment="1"/>
    <xf numFmtId="0" fontId="78" fillId="0" borderId="0" xfId="0" applyFont="1" applyAlignment="1"/>
    <xf numFmtId="0" fontId="86" fillId="0" borderId="0" xfId="0" applyFont="1" applyAlignment="1"/>
    <xf numFmtId="0" fontId="87" fillId="0" borderId="0" xfId="0" applyFont="1" applyAlignment="1"/>
    <xf numFmtId="0" fontId="88" fillId="0" borderId="0" xfId="0" applyFont="1" applyAlignment="1"/>
    <xf numFmtId="0" fontId="89" fillId="0" borderId="0" xfId="0" applyFont="1" applyAlignment="1"/>
    <xf numFmtId="0" fontId="90" fillId="0" borderId="0" xfId="0" applyFont="1" applyAlignment="1"/>
    <xf numFmtId="0" fontId="91" fillId="0" borderId="0" xfId="0" applyFont="1" applyAlignment="1">
      <alignment horizontal="left"/>
    </xf>
    <xf numFmtId="176" fontId="92" fillId="0" borderId="0" xfId="0" applyNumberFormat="1" applyFont="1" applyAlignment="1"/>
    <xf numFmtId="2" fontId="93" fillId="0" borderId="0" xfId="0" applyNumberFormat="1" applyFont="1" applyAlignment="1"/>
    <xf numFmtId="2" fontId="0" fillId="0" borderId="0" xfId="0" applyNumberFormat="1" applyAlignment="1"/>
    <xf numFmtId="0" fontId="94" fillId="0" borderId="0" xfId="0" applyFont="1" applyAlignment="1"/>
    <xf numFmtId="0" fontId="95" fillId="0" borderId="0" xfId="0" applyFont="1" applyAlignment="1"/>
    <xf numFmtId="0" fontId="91" fillId="0" borderId="0" xfId="0" applyFont="1" applyAlignment="1"/>
    <xf numFmtId="2" fontId="96" fillId="0" borderId="0" xfId="0" applyNumberFormat="1" applyFont="1" applyAlignment="1"/>
    <xf numFmtId="2" fontId="2" fillId="5" borderId="0" xfId="0" applyNumberFormat="1" applyFont="1" applyFill="1" applyAlignment="1"/>
    <xf numFmtId="0" fontId="97" fillId="0" borderId="0" xfId="0" applyFont="1" applyAlignment="1">
      <alignment horizontal="left" vertical="center" wrapText="1"/>
    </xf>
    <xf numFmtId="17" fontId="86" fillId="0" borderId="0" xfId="0" applyNumberFormat="1" applyFont="1" applyAlignment="1">
      <alignment horizontal="right" vertical="center" wrapText="1"/>
    </xf>
    <xf numFmtId="0" fontId="0" fillId="0" borderId="0" xfId="0" applyAlignment="1">
      <alignment horizontal="left" vertical="center" wrapText="1"/>
    </xf>
    <xf numFmtId="0" fontId="32" fillId="0" borderId="0" xfId="0" applyFont="1" applyAlignment="1">
      <alignment horizontal="right" vertical="center" wrapText="1"/>
    </xf>
    <xf numFmtId="0" fontId="98" fillId="0" borderId="0" xfId="0" applyFont="1" applyAlignment="1">
      <alignment horizontal="left" vertical="center" wrapText="1"/>
    </xf>
    <xf numFmtId="10" fontId="99" fillId="0" borderId="0" xfId="0" applyNumberFormat="1" applyFont="1" applyAlignment="1">
      <alignment horizontal="right" vertical="center" wrapText="1"/>
    </xf>
    <xf numFmtId="0" fontId="47" fillId="0" borderId="0" xfId="0" applyFont="1" applyAlignment="1">
      <alignment horizontal="left" vertical="center" wrapText="1"/>
    </xf>
    <xf numFmtId="0" fontId="100" fillId="0" borderId="0" xfId="0" applyFont="1" applyAlignment="1">
      <alignment horizontal="left" vertical="center" wrapText="1"/>
    </xf>
    <xf numFmtId="2" fontId="32" fillId="0" borderId="0" xfId="0" applyNumberFormat="1" applyFont="1" applyAlignment="1">
      <alignment horizontal="right" vertical="center" wrapText="1"/>
    </xf>
    <xf numFmtId="2" fontId="99" fillId="0" borderId="0" xfId="0" applyNumberFormat="1" applyFont="1" applyAlignment="1">
      <alignment horizontal="right" vertical="center" wrapText="1"/>
    </xf>
    <xf numFmtId="0" fontId="99" fillId="0" borderId="0" xfId="0" applyFont="1" applyAlignment="1">
      <alignment horizontal="right" vertical="center" wrapText="1"/>
    </xf>
    <xf numFmtId="17" fontId="2" fillId="0" borderId="0" xfId="0" applyNumberFormat="1" applyFont="1" applyAlignment="1"/>
    <xf numFmtId="4" fontId="2" fillId="0" borderId="0" xfId="0" applyNumberFormat="1" applyFont="1" applyAlignment="1"/>
    <xf numFmtId="0" fontId="1" fillId="0" borderId="0" xfId="0" applyFont="1" applyAlignment="1">
      <alignment horizontal="left" vertical="center"/>
    </xf>
    <xf numFmtId="0" fontId="5" fillId="3" borderId="22" xfId="0" applyFont="1" applyFill="1" applyBorder="1" applyAlignment="1">
      <alignment horizontal="center" wrapText="1"/>
    </xf>
    <xf numFmtId="0" fontId="33" fillId="0" borderId="3" xfId="0" applyFont="1" applyBorder="1" applyAlignment="1">
      <alignment horizontal="center" vertical="center" wrapText="1"/>
    </xf>
    <xf numFmtId="0" fontId="33" fillId="0" borderId="2" xfId="0" applyFont="1" applyBorder="1" applyAlignment="1">
      <alignment horizontal="center" vertical="center" wrapText="1"/>
    </xf>
    <xf numFmtId="0" fontId="47" fillId="0" borderId="2" xfId="0" applyFont="1" applyBorder="1" applyAlignment="1">
      <alignment horizontal="center"/>
    </xf>
    <xf numFmtId="0" fontId="33" fillId="0" borderId="0" xfId="0" applyFont="1" applyAlignment="1">
      <alignment horizontal="center" vertical="center" wrapText="1"/>
    </xf>
    <xf numFmtId="0" fontId="47" fillId="0" borderId="0" xfId="0" applyFont="1" applyAlignment="1">
      <alignment horizontal="center"/>
    </xf>
    <xf numFmtId="177" fontId="101" fillId="0" borderId="0" xfId="0" applyNumberFormat="1" applyFont="1" applyAlignment="1">
      <alignment wrapText="1"/>
    </xf>
    <xf numFmtId="0" fontId="33" fillId="0" borderId="4" xfId="0" applyFont="1" applyBorder="1" applyAlignment="1">
      <alignment wrapText="1"/>
    </xf>
    <xf numFmtId="202" fontId="33" fillId="0" borderId="4" xfId="0" applyNumberFormat="1" applyFont="1" applyBorder="1" applyAlignment="1"/>
    <xf numFmtId="0" fontId="33" fillId="0" borderId="0" xfId="0" applyFont="1" applyAlignment="1">
      <alignment wrapText="1"/>
    </xf>
    <xf numFmtId="176" fontId="33" fillId="0" borderId="0" xfId="0" applyNumberFormat="1" applyFont="1" applyAlignment="1"/>
    <xf numFmtId="0" fontId="101" fillId="0" borderId="0" xfId="0" applyFont="1" applyAlignment="1">
      <alignment wrapText="1"/>
    </xf>
    <xf numFmtId="176" fontId="33" fillId="0" borderId="4" xfId="0" applyNumberFormat="1" applyFont="1" applyBorder="1" applyAlignment="1"/>
    <xf numFmtId="177" fontId="89" fillId="0" borderId="0" xfId="0" applyNumberFormat="1" applyFont="1" applyAlignment="1"/>
    <xf numFmtId="176" fontId="101" fillId="0" borderId="0" xfId="0" applyNumberFormat="1" applyFont="1" applyAlignment="1"/>
    <xf numFmtId="4" fontId="13" fillId="0" borderId="0" xfId="0" applyNumberFormat="1" applyFont="1" applyAlignment="1"/>
    <xf numFmtId="9" fontId="88" fillId="0" borderId="0" xfId="0" applyNumberFormat="1" applyFont="1" applyAlignment="1"/>
    <xf numFmtId="9" fontId="59" fillId="0" borderId="0" xfId="0" applyNumberFormat="1" applyFont="1" applyAlignment="1"/>
    <xf numFmtId="0" fontId="33" fillId="0" borderId="0" xfId="0" applyFont="1" applyAlignment="1">
      <alignment horizontal="left" vertical="center" wrapText="1"/>
    </xf>
    <xf numFmtId="176" fontId="102" fillId="0" borderId="0" xfId="0" applyNumberFormat="1" applyFont="1" applyAlignment="1">
      <alignment horizontal="left" vertical="center"/>
    </xf>
    <xf numFmtId="190" fontId="88" fillId="0" borderId="0" xfId="0" applyNumberFormat="1" applyFont="1" applyAlignment="1"/>
    <xf numFmtId="183" fontId="13" fillId="0" borderId="0" xfId="0" applyNumberFormat="1" applyFont="1" applyAlignment="1"/>
    <xf numFmtId="176" fontId="103" fillId="0" borderId="0" xfId="0" applyNumberFormat="1" applyFont="1" applyAlignment="1"/>
    <xf numFmtId="177" fontId="88" fillId="0" borderId="0" xfId="0" applyNumberFormat="1" applyFont="1" applyAlignment="1"/>
    <xf numFmtId="177" fontId="101" fillId="0" borderId="0" xfId="0" applyNumberFormat="1" applyFont="1" applyAlignment="1"/>
    <xf numFmtId="0" fontId="104" fillId="0" borderId="0" xfId="0" applyFont="1" applyAlignment="1">
      <alignment wrapText="1"/>
    </xf>
    <xf numFmtId="0" fontId="0" fillId="5" borderId="0" xfId="0" applyFont="1" applyFill="1" applyAlignment="1">
      <alignment wrapText="1"/>
    </xf>
    <xf numFmtId="9" fontId="0" fillId="5" borderId="0" xfId="0" applyNumberFormat="1" applyFont="1" applyFill="1" applyAlignment="1">
      <alignment horizontal="right"/>
    </xf>
    <xf numFmtId="10" fontId="0" fillId="5" borderId="0" xfId="0" applyNumberFormat="1" applyFill="1" applyAlignment="1"/>
    <xf numFmtId="2" fontId="0" fillId="5" borderId="0" xfId="0" applyNumberFormat="1" applyFill="1" applyAlignment="1"/>
    <xf numFmtId="0" fontId="2" fillId="4" borderId="0" xfId="0" applyFont="1" applyFill="1" applyAlignment="1">
      <alignment wrapText="1"/>
    </xf>
    <xf numFmtId="176" fontId="2" fillId="4" borderId="0" xfId="0" applyNumberFormat="1" applyFont="1" applyFill="1" applyAlignment="1"/>
    <xf numFmtId="0" fontId="105" fillId="4" borderId="0" xfId="0" applyFont="1" applyFill="1" applyAlignment="1">
      <alignment horizontal="left" vertical="center" wrapText="1"/>
    </xf>
    <xf numFmtId="17" fontId="106" fillId="4" borderId="0" xfId="0" applyNumberFormat="1" applyFont="1" applyFill="1" applyAlignment="1">
      <alignment horizontal="center" vertical="center" wrapText="1"/>
    </xf>
    <xf numFmtId="17" fontId="106" fillId="0" borderId="0" xfId="0" applyNumberFormat="1" applyFont="1" applyAlignment="1">
      <alignment horizontal="right" vertical="center" wrapText="1"/>
    </xf>
    <xf numFmtId="0" fontId="107" fillId="0" borderId="0" xfId="0" applyFont="1" applyAlignment="1">
      <alignment horizontal="left" vertical="center" wrapText="1"/>
    </xf>
    <xf numFmtId="0" fontId="108" fillId="0" borderId="0" xfId="0" applyFont="1" applyAlignment="1">
      <alignment horizontal="center" vertical="center" wrapText="1"/>
    </xf>
    <xf numFmtId="0" fontId="109" fillId="0" borderId="0" xfId="0" applyFont="1" applyAlignment="1">
      <alignment horizontal="center" vertical="center" wrapText="1"/>
    </xf>
    <xf numFmtId="4" fontId="109" fillId="0" borderId="0" xfId="0" applyNumberFormat="1"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6" fillId="3" borderId="5" xfId="0" applyFont="1" applyFill="1" applyBorder="1" applyAlignment="1"/>
    <xf numFmtId="0" fontId="1" fillId="0" borderId="5" xfId="0" applyFont="1" applyBorder="1" applyAlignment="1">
      <alignment horizontal="left"/>
    </xf>
    <xf numFmtId="0" fontId="2" fillId="0" borderId="5" xfId="0" applyFont="1" applyBorder="1" applyAlignment="1">
      <alignment horizontal="left"/>
    </xf>
    <xf numFmtId="0" fontId="110" fillId="0" borderId="5" xfId="0" applyFont="1" applyBorder="1" applyAlignment="1">
      <alignment horizontal="left"/>
    </xf>
    <xf numFmtId="0" fontId="6" fillId="3" borderId="5" xfId="0" applyFont="1" applyFill="1" applyBorder="1" applyAlignment="1">
      <alignment vertical="center"/>
    </xf>
    <xf numFmtId="0" fontId="2" fillId="0" borderId="5" xfId="0" applyFont="1" applyBorder="1" applyAlignment="1">
      <alignment horizontal="left" wrapText="1"/>
    </xf>
    <xf numFmtId="1" fontId="1" fillId="0" borderId="5" xfId="0" applyNumberFormat="1" applyFont="1" applyBorder="1" applyAlignment="1">
      <alignment horizontal="center"/>
    </xf>
    <xf numFmtId="0" fontId="6" fillId="3" borderId="0" xfId="0" applyFont="1" applyFill="1" applyAlignment="1">
      <alignment horizontal="center"/>
    </xf>
    <xf numFmtId="0" fontId="2" fillId="19" borderId="0" xfId="0" applyFont="1" applyFill="1" applyBorder="1" applyAlignment="1">
      <alignment horizontal="center"/>
    </xf>
    <xf numFmtId="0" fontId="2" fillId="19" borderId="0" xfId="0" applyFont="1" applyFill="1" applyAlignment="1">
      <alignment horizontal="center"/>
    </xf>
    <xf numFmtId="0" fontId="1" fillId="0" borderId="15" xfId="0" applyFont="1" applyBorder="1" applyAlignment="1">
      <alignment horizontal="center"/>
    </xf>
    <xf numFmtId="0" fontId="1" fillId="0" borderId="14" xfId="0" applyFont="1" applyBorder="1" applyAlignment="1">
      <alignment horizontal="center"/>
    </xf>
    <xf numFmtId="181" fontId="2" fillId="0" borderId="11" xfId="0" applyNumberFormat="1" applyFont="1" applyBorder="1" applyAlignment="1"/>
    <xf numFmtId="0" fontId="2" fillId="0" borderId="23" xfId="0" applyFont="1" applyBorder="1" applyAlignment="1"/>
    <xf numFmtId="0" fontId="2" fillId="0" borderId="2" xfId="0" applyFont="1" applyBorder="1" applyAlignment="1">
      <alignment horizontal="center"/>
    </xf>
    <xf numFmtId="176" fontId="2" fillId="0" borderId="10" xfId="0" applyNumberFormat="1" applyFont="1" applyBorder="1" applyAlignment="1"/>
    <xf numFmtId="0" fontId="6" fillId="3" borderId="22" xfId="0" applyFont="1" applyFill="1" applyBorder="1" applyAlignment="1">
      <alignment horizontal="center"/>
    </xf>
    <xf numFmtId="0" fontId="2" fillId="0" borderId="6" xfId="0" applyFont="1" applyBorder="1" applyAlignment="1"/>
    <xf numFmtId="0" fontId="2" fillId="0" borderId="3" xfId="0" applyFont="1" applyBorder="1" applyAlignment="1">
      <alignment horizontal="center"/>
    </xf>
    <xf numFmtId="10" fontId="2" fillId="0" borderId="13" xfId="0" applyNumberFormat="1" applyFont="1" applyBorder="1" applyAlignment="1"/>
    <xf numFmtId="10" fontId="2" fillId="0" borderId="11" xfId="0" applyNumberFormat="1" applyFont="1" applyBorder="1" applyAlignment="1"/>
    <xf numFmtId="10" fontId="2" fillId="0" borderId="10" xfId="0" applyNumberFormat="1" applyFont="1" applyBorder="1" applyAlignment="1"/>
    <xf numFmtId="0" fontId="111" fillId="0" borderId="23" xfId="0" applyFont="1" applyBorder="1" applyAlignment="1"/>
    <xf numFmtId="0" fontId="111" fillId="0" borderId="2" xfId="0" applyFont="1" applyBorder="1" applyAlignment="1">
      <alignment horizontal="center"/>
    </xf>
    <xf numFmtId="10" fontId="111" fillId="0" borderId="10" xfId="0" applyNumberFormat="1" applyFont="1" applyBorder="1" applyAlignment="1"/>
    <xf numFmtId="0" fontId="9" fillId="0" borderId="0" xfId="0" applyFont="1" applyAlignment="1"/>
    <xf numFmtId="0" fontId="6" fillId="3" borderId="1" xfId="0" applyFont="1" applyFill="1" applyBorder="1" applyAlignment="1">
      <alignment horizontal="center"/>
    </xf>
    <xf numFmtId="0" fontId="6" fillId="4" borderId="0" xfId="0" applyFont="1" applyFill="1" applyAlignment="1">
      <alignment horizontal="center"/>
    </xf>
    <xf numFmtId="0" fontId="1" fillId="0" borderId="15" xfId="0" applyFont="1" applyBorder="1" applyAlignment="1">
      <alignment horizontal="center" vertical="center"/>
    </xf>
    <xf numFmtId="0" fontId="1" fillId="0" borderId="4" xfId="0" applyFont="1" applyBorder="1" applyAlignment="1">
      <alignment horizontal="center" vertical="center"/>
    </xf>
    <xf numFmtId="0" fontId="1" fillId="0" borderId="14" xfId="0" applyFont="1" applyBorder="1" applyAlignment="1">
      <alignment horizontal="center" vertical="center"/>
    </xf>
    <xf numFmtId="0" fontId="2" fillId="0" borderId="22" xfId="0" applyFont="1" applyBorder="1" applyAlignment="1">
      <alignment horizontal="center" vertical="center"/>
    </xf>
    <xf numFmtId="2" fontId="2" fillId="0" borderId="6" xfId="0" applyNumberFormat="1" applyFont="1" applyBorder="1" applyAlignment="1">
      <alignment horizontal="center" vertical="center"/>
    </xf>
    <xf numFmtId="2" fontId="2" fillId="0" borderId="3" xfId="0" applyNumberFormat="1" applyFont="1" applyBorder="1" applyAlignment="1">
      <alignment horizontal="center" vertical="center"/>
    </xf>
    <xf numFmtId="2" fontId="2" fillId="0" borderId="13" xfId="0" applyNumberFormat="1" applyFont="1" applyBorder="1" applyAlignment="1">
      <alignment horizontal="center" vertical="center"/>
    </xf>
    <xf numFmtId="2" fontId="2" fillId="0" borderId="11" xfId="0" applyNumberFormat="1" applyFont="1" applyBorder="1" applyAlignment="1">
      <alignment horizontal="center" vertical="center"/>
    </xf>
    <xf numFmtId="0" fontId="2" fillId="0" borderId="24" xfId="0" applyFont="1" applyBorder="1" applyAlignment="1">
      <alignment horizontal="center" vertical="center"/>
    </xf>
    <xf numFmtId="2" fontId="2" fillId="0" borderId="1" xfId="0" applyNumberFormat="1" applyFont="1" applyBorder="1" applyAlignment="1">
      <alignment horizontal="center"/>
    </xf>
    <xf numFmtId="2" fontId="2" fillId="0" borderId="0" xfId="0" applyNumberFormat="1" applyFont="1" applyBorder="1" applyAlignment="1">
      <alignment horizontal="center" vertical="center"/>
    </xf>
    <xf numFmtId="0" fontId="2" fillId="0" borderId="25" xfId="0" applyFont="1" applyBorder="1" applyAlignment="1">
      <alignment horizontal="center" vertical="center"/>
    </xf>
    <xf numFmtId="2" fontId="2" fillId="0" borderId="23" xfId="0" applyNumberFormat="1" applyFont="1" applyBorder="1" applyAlignment="1">
      <alignment horizontal="center"/>
    </xf>
    <xf numFmtId="2" fontId="2" fillId="0" borderId="2" xfId="0" applyNumberFormat="1" applyFont="1" applyBorder="1" applyAlignment="1">
      <alignment horizontal="center" vertical="center"/>
    </xf>
    <xf numFmtId="2" fontId="2" fillId="0" borderId="10" xfId="0" applyNumberFormat="1" applyFont="1" applyBorder="1" applyAlignment="1">
      <alignment horizontal="center" vertical="center"/>
    </xf>
    <xf numFmtId="176" fontId="2" fillId="0" borderId="0" xfId="0" applyNumberFormat="1" applyFont="1" applyAlignment="1">
      <alignment horizontal="center"/>
    </xf>
    <xf numFmtId="176" fontId="2" fillId="0" borderId="0" xfId="0" applyNumberFormat="1" applyFont="1" applyAlignment="1">
      <alignment horizontal="center" vertical="center"/>
    </xf>
    <xf numFmtId="0" fontId="15" fillId="3" borderId="0" xfId="0" applyFont="1" applyFill="1" applyAlignment="1">
      <alignment horizontal="center" wrapText="1"/>
    </xf>
    <xf numFmtId="0" fontId="15" fillId="3" borderId="0" xfId="0" applyFont="1" applyFill="1" applyBorder="1" applyAlignment="1">
      <alignment horizontal="center"/>
    </xf>
    <xf numFmtId="0" fontId="13" fillId="0" borderId="5"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5" xfId="0" applyFont="1" applyBorder="1" applyAlignment="1">
      <alignment horizontal="left" vertical="center" wrapText="1"/>
    </xf>
    <xf numFmtId="0" fontId="13" fillId="0" borderId="14" xfId="0" applyFont="1" applyBorder="1" applyAlignment="1">
      <alignment horizontal="center" vertical="center" wrapText="1"/>
    </xf>
    <xf numFmtId="0" fontId="26" fillId="0" borderId="5" xfId="0" applyFont="1" applyBorder="1" applyAlignment="1">
      <alignment horizontal="left" vertical="center" wrapText="1"/>
    </xf>
    <xf numFmtId="0" fontId="13" fillId="0" borderId="14" xfId="0" applyFont="1" applyBorder="1" applyAlignment="1">
      <alignment horizontal="center" vertical="center"/>
    </xf>
    <xf numFmtId="0" fontId="13" fillId="0" borderId="25" xfId="0" applyFont="1" applyBorder="1" applyAlignment="1">
      <alignment horizontal="center" vertical="center"/>
    </xf>
    <xf numFmtId="0" fontId="13" fillId="0" borderId="22" xfId="0" applyFont="1" applyBorder="1" applyAlignment="1">
      <alignment horizontal="left" vertical="center" wrapText="1"/>
    </xf>
    <xf numFmtId="0" fontId="13" fillId="0" borderId="22" xfId="0" applyFont="1" applyBorder="1" applyAlignment="1">
      <alignment horizontal="center" vertical="center" wrapText="1"/>
    </xf>
    <xf numFmtId="0" fontId="13" fillId="0" borderId="5" xfId="0" applyFont="1" applyBorder="1" applyAlignment="1">
      <alignment horizontal="center" vertical="center"/>
    </xf>
    <xf numFmtId="0" fontId="29" fillId="2" borderId="0" xfId="0" applyFont="1" applyFill="1" applyBorder="1" applyAlignment="1">
      <alignment horizontal="center" vertical="center" wrapText="1"/>
    </xf>
    <xf numFmtId="0" fontId="112" fillId="20" borderId="0" xfId="0" applyFont="1" applyFill="1" applyAlignment="1">
      <alignment vertical="center"/>
    </xf>
    <xf numFmtId="0" fontId="113" fillId="20" borderId="0" xfId="0" applyFont="1" applyFill="1" applyAlignment="1">
      <alignment vertical="center"/>
    </xf>
    <xf numFmtId="0" fontId="110" fillId="0" borderId="0" xfId="0" applyFont="1" applyAlignment="1">
      <alignment vertical="center"/>
    </xf>
    <xf numFmtId="0" fontId="43" fillId="0" borderId="0" xfId="0" applyFont="1" applyAlignment="1">
      <alignment vertical="center"/>
    </xf>
    <xf numFmtId="0" fontId="110" fillId="4" borderId="0" xfId="0" applyFont="1" applyFill="1" applyAlignment="1">
      <alignment vertical="center"/>
    </xf>
    <xf numFmtId="0" fontId="114" fillId="4" borderId="0" xfId="0" applyFont="1" applyFill="1" applyAlignment="1">
      <alignment vertical="center"/>
    </xf>
    <xf numFmtId="0" fontId="115" fillId="4" borderId="0" xfId="0" applyFont="1" applyFill="1" applyAlignment="1">
      <alignment vertical="center"/>
    </xf>
    <xf numFmtId="0" fontId="34" fillId="4" borderId="0" xfId="0" applyFont="1" applyFill="1" applyAlignment="1">
      <alignment vertical="center"/>
    </xf>
  </cellXfs>
  <cellStyles count="6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20% - Accent1 2" xfId="49"/>
    <cellStyle name="Comma 2" xfId="50"/>
    <cellStyle name="Normal 2" xfId="51"/>
    <cellStyle name="Normal 2 2" xfId="52"/>
    <cellStyle name="Normal 3" xfId="53"/>
    <cellStyle name="Normal 4" xfId="54"/>
    <cellStyle name="Normal 5" xfId="55"/>
    <cellStyle name="Normal 5 2" xfId="56"/>
    <cellStyle name="Normal 6" xfId="57"/>
    <cellStyle name="Normal 7 2" xfId="58"/>
    <cellStyle name="Per cent 2" xfId="59"/>
  </cellStyles>
  <dxfs count="19">
    <dxf>
      <font>
        <color rgb="FF00B050"/>
      </font>
    </dxf>
    <dxf>
      <font>
        <color rgb="FFFF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D91400"/>
      <rgbColor rgb="00007C32"/>
      <rgbColor rgb="00001588"/>
      <rgbColor rgb="00808000"/>
      <rgbColor rgb="00800080"/>
      <rgbColor rgb="000EA600"/>
      <rgbColor rgb="00C0C0C0"/>
      <rgbColor rgb="00808080"/>
      <rgbColor rgb="0095B3D7"/>
      <rgbColor rgb="00BE4B48"/>
      <rgbColor rgb="00FFFFCC"/>
      <rgbColor rgb="00E3EAF2"/>
      <rgbColor rgb="00660066"/>
      <rgbColor rgb="00D9D9D9"/>
      <rgbColor rgb="000070C0"/>
      <rgbColor rgb="00C6D9F1"/>
      <rgbColor rgb="00002060"/>
      <rgbColor rgb="00FF00FF"/>
      <rgbColor rgb="00B7DEE8"/>
      <rgbColor rgb="0000FFFF"/>
      <rgbColor rgb="00800080"/>
      <rgbColor rgb="00800000"/>
      <rgbColor rgb="001D41D5"/>
      <rgbColor rgb="000432FF"/>
      <rgbColor rgb="0000CCFF"/>
      <rgbColor rgb="00DCE6F2"/>
      <rgbColor rgb="00CCFF99"/>
      <rgbColor rgb="00FDEADA"/>
      <rgbColor rgb="0093CDDD"/>
      <rgbColor rgb="00BFBFBF"/>
      <rgbColor rgb="00B3B3B3"/>
      <rgbColor rgb="00FAC090"/>
      <rgbColor rgb="004F81BD"/>
      <rgbColor rgb="00558ED5"/>
      <rgbColor rgb="0092D050"/>
      <rgbColor rgb="00F2DCDB"/>
      <rgbColor rgb="00FF9900"/>
      <rgbColor rgb="00FF6600"/>
      <rgbColor rgb="00376092"/>
      <rgbColor rgb="00878787"/>
      <rgbColor rgb="0017365D"/>
      <rgbColor rgb="0000B050"/>
      <rgbColor rgb="00101113"/>
      <rgbColor rgb="0017375E"/>
      <rgbColor rgb="00CC3300"/>
      <rgbColor rgb="00C0504D"/>
      <rgbColor rgb="00254061"/>
      <rgbColor rgb="002325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tyles" Target="styles.xml"/><Relationship Id="rId26" Type="http://schemas.openxmlformats.org/officeDocument/2006/relationships/sheetMetadata" Target="metadata.xml"/><Relationship Id="rId25" Type="http://schemas.openxmlformats.org/officeDocument/2006/relationships/sharedStrings" Target="sharedStrings.xml"/><Relationship Id="rId24" Type="http://schemas.openxmlformats.org/officeDocument/2006/relationships/theme" Target="theme/theme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Valuation Summary</a:t>
            </a:r>
          </a:p>
        </c:rich>
      </c:tx>
      <c:layout>
        <c:manualLayout>
          <c:xMode val="edge"/>
          <c:yMode val="edge"/>
          <c:x val="0.408550396375991"/>
          <c:y val="0.0138888888888889"/>
        </c:manualLayout>
      </c:layout>
      <c:overlay val="0"/>
      <c:spPr>
        <a:noFill/>
        <a:ln>
          <a:noFill/>
        </a:ln>
        <a:effectLst/>
      </c:spPr>
    </c:title>
    <c:autoTitleDeleted val="0"/>
    <c:plotArea>
      <c:layout/>
      <c:barChart>
        <c:barDir val="col"/>
        <c:grouping val="stacked"/>
        <c:varyColors val="0"/>
        <c:ser>
          <c:idx val="0"/>
          <c:order val="0"/>
          <c:tx>
            <c:strRef>
              <c:f>Summary!$K$5</c:f>
              <c:strCache>
                <c:ptCount val="1"/>
                <c:pt idx="0">
                  <c:v>Market</c:v>
                </c:pt>
              </c:strCache>
            </c:strRef>
          </c:tx>
          <c:spPr>
            <a:solidFill>
              <a:schemeClr val="accent1"/>
            </a:solidFill>
            <a:ln>
              <a:solidFill>
                <a:schemeClr val="bg1"/>
              </a:solidFill>
            </a:ln>
            <a:effectLst/>
          </c:spPr>
          <c:invertIfNegative val="0"/>
          <c:dLbls>
            <c:delete val="1"/>
          </c:dLbls>
          <c:cat>
            <c:multiLvlStrRef>
              <c:f>Summary!$B$6:$J$11</c:f>
              <c:multiLvlStrCache>
                <c:ptCount val="6"/>
                <c:lvl>
                  <c:pt idx="0">
                    <c:v>52-week hi/lo</c:v>
                  </c:pt>
                  <c:pt idx="1" c:formatCode="#,##0">
                    <c:v>1,992</c:v>
                  </c:pt>
                  <c:pt idx="2" c:formatCode="#,##0">
                    <c:v>1,992</c:v>
                  </c:pt>
                  <c:pt idx="3" c:formatCode="#,##0">
                    <c:v>992</c:v>
                  </c:pt>
                  <c:pt idx="4" c:formatCode="#,##0">
                    <c:v>992</c:v>
                  </c:pt>
                </c:lvl>
                <c:lvl>
                  <c:pt idx="0">
                    <c:v>DCF</c:v>
                  </c:pt>
                  <c:pt idx="1" c:formatCode="#,##0">
                    <c:v>3,677</c:v>
                  </c:pt>
                  <c:pt idx="2" c:formatCode="#,##0">
                    <c:v>3,677</c:v>
                  </c:pt>
                  <c:pt idx="3" c:formatCode="#,##0">
                    <c:v>2,375</c:v>
                  </c:pt>
                  <c:pt idx="4" c:formatCode="#,##0">
                    <c:v>2,375</c:v>
                  </c:pt>
                </c:lvl>
                <c:lvl>
                  <c:pt idx="0">
                    <c:v>Comps</c:v>
                  </c:pt>
                  <c:pt idx="1" c:formatCode="#,##0">
                    <c:v>5,418</c:v>
                  </c:pt>
                  <c:pt idx="2" c:formatCode="#,##0">
                    <c:v>5,418</c:v>
                  </c:pt>
                  <c:pt idx="3" c:formatCode="#,##0">
                    <c:v>164</c:v>
                  </c:pt>
                  <c:pt idx="4" c:formatCode="#,##0">
                    <c:v>164</c:v>
                  </c:pt>
                </c:lvl>
                <c:lvl/>
                <c:lvl/>
                <c:lvl/>
                <c:lvl/>
                <c:lvl/>
                <c:lvl>
                  <c:pt idx="1">
                    <c:v>High</c:v>
                  </c:pt>
                  <c:pt idx="2">
                    <c:v>High</c:v>
                  </c:pt>
                  <c:pt idx="3">
                    <c:v>Low</c:v>
                  </c:pt>
                  <c:pt idx="4">
                    <c:v>Low</c:v>
                  </c:pt>
                </c:lvl>
              </c:multiLvlStrCache>
            </c:multiLvlStrRef>
          </c:cat>
          <c:val>
            <c:numRef>
              <c:f>Summary!$K$6:$K$11</c:f>
              <c:numCache>
                <c:formatCode>General</c:formatCode>
                <c:ptCount val="6"/>
                <c:pt idx="0">
                  <c:v>0</c:v>
                </c:pt>
                <c:pt idx="1" c:formatCode="#,##0">
                  <c:v>1334</c:v>
                </c:pt>
                <c:pt idx="2" c:formatCode="#,##0">
                  <c:v>1334</c:v>
                </c:pt>
                <c:pt idx="3" c:formatCode="#,##0">
                  <c:v>940</c:v>
                </c:pt>
                <c:pt idx="4" c:formatCode="#,##0">
                  <c:v>940</c:v>
                </c:pt>
              </c:numCache>
            </c:numRef>
          </c:val>
        </c:ser>
        <c:dLbls>
          <c:showLegendKey val="0"/>
          <c:showVal val="0"/>
          <c:showCatName val="0"/>
          <c:showSerName val="0"/>
          <c:showPercent val="0"/>
          <c:showBubbleSize val="0"/>
        </c:dLbls>
        <c:gapWidth val="246"/>
        <c:overlap val="100"/>
        <c:axId val="887986227"/>
        <c:axId val="121124896"/>
      </c:barChart>
      <c:catAx>
        <c:axId val="88798622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21124896"/>
        <c:crosses val="autoZero"/>
        <c:auto val="1"/>
        <c:lblAlgn val="ctr"/>
        <c:lblOffset val="100"/>
        <c:noMultiLvlLbl val="0"/>
      </c:catAx>
      <c:valAx>
        <c:axId val="121124896"/>
        <c:scaling>
          <c:orientation val="minMax"/>
        </c:scaling>
        <c:delete val="0"/>
        <c:axPos val="l"/>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87986227"/>
        <c:crosses val="autoZero"/>
        <c:crossBetween val="between"/>
      </c:valAx>
      <c:spPr>
        <a:noFill/>
        <a:ln>
          <a:noFill/>
        </a:ln>
        <a:effectLst/>
      </c:spPr>
    </c:plotArea>
    <c:plotVisOnly val="1"/>
    <c:dispBlanksAs val="gap"/>
    <c:showDLblsOverMax val="0"/>
    <c:extLst>
      <c:ext uri="{0b15fc19-7d7d-44ad-8c2d-2c3a37ce22c3}">
        <chartProps xmlns="https://web.wps.cn/et/2018/main" chartId="{75a7164d-22d0-4104-8428-c59bb56cdc3e}"/>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IN" sz="1800" b="1" i="0" u="none" strike="noStrike" kern="1200" spc="-1" baseline="0">
                <a:solidFill>
                  <a:srgbClr val="FFFFFF"/>
                </a:solidFill>
                <a:latin typeface="Calibri" panose="020F0502020204030204"/>
                <a:ea typeface="+mn-ea"/>
                <a:cs typeface="+mn-cs"/>
              </a:defRPr>
            </a:pPr>
            <a:r>
              <a:rPr lang="en-IN" sz="1800" b="1" strike="noStrike" spc="-1">
                <a:solidFill>
                  <a:srgbClr val="FFFFFF"/>
                </a:solidFill>
                <a:latin typeface="Calibri" panose="020F0502020204030204"/>
              </a:rPr>
              <a:t>Revenue &amp; YoY Growth</a:t>
            </a:r>
            <a:endParaRPr lang="en-IN" sz="1800" b="1" strike="noStrike" spc="-1">
              <a:solidFill>
                <a:srgbClr val="FFFFFF"/>
              </a:solidFill>
              <a:latin typeface="Calibri" panose="020F0502020204030204"/>
            </a:endParaRPr>
          </a:p>
        </c:rich>
      </c:tx>
      <c:layout/>
      <c:overlay val="0"/>
      <c:spPr>
        <a:noFill/>
        <a:ln w="0">
          <a:noFill/>
        </a:ln>
      </c:spPr>
    </c:title>
    <c:autoTitleDeleted val="0"/>
    <c:plotArea>
      <c:layout/>
      <c:barChart>
        <c:barDir val="col"/>
        <c:grouping val="clustered"/>
        <c:varyColors val="0"/>
        <c:ser>
          <c:idx val="0"/>
          <c:order val="0"/>
          <c:tx>
            <c:strRef>
              <c:f>'Income Statement'!$B$11</c:f>
              <c:strCache>
                <c:ptCount val="1"/>
                <c:pt idx="0">
                  <c:v>Revenue from Operations</c:v>
                </c:pt>
              </c:strCache>
            </c:strRef>
          </c:tx>
          <c:spPr>
            <a:solidFill>
              <a:srgbClr val="C0504D"/>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numRef>
              <c:f>'Income Statement'!$C$8:$Q$8</c:f>
              <c:numCache>
                <c:formatCode>General</c:formatCode>
                <c:ptCount val="15"/>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numCache>
            </c:numRef>
          </c:cat>
          <c:val>
            <c:numRef>
              <c:f>'Income Statement'!$C$11:$Q$11</c:f>
              <c:numCache>
                <c:formatCode>_ * #,##0.00_ ;_ * \-#,##0.00_ ;_ * \-??_ ;_ @_ </c:formatCode>
                <c:ptCount val="15"/>
                <c:pt idx="0">
                  <c:v>121641</c:v>
                </c:pt>
                <c:pt idx="1">
                  <c:v>146767</c:v>
                </c:pt>
                <c:pt idx="2">
                  <c:v>153670</c:v>
                </c:pt>
                <c:pt idx="3">
                  <c:v>162990</c:v>
                </c:pt>
                <c:pt idx="4">
                  <c:v>178650</c:v>
                </c:pt>
                <c:pt idx="5">
                  <c:v>184226.178856416</c:v>
                </c:pt>
                <c:pt idx="6">
                  <c:v>201780.731154828</c:v>
                </c:pt>
                <c:pt idx="7">
                  <c:v>219161.016863231</c:v>
                </c:pt>
                <c:pt idx="8">
                  <c:v>236056.495529066</c:v>
                </c:pt>
                <c:pt idx="9">
                  <c:v>252143.425020734</c:v>
                </c:pt>
                <c:pt idx="10">
                  <c:v>267093.653322034</c:v>
                </c:pt>
                <c:pt idx="11">
                  <c:v>280584.063968276</c:v>
                </c:pt>
                <c:pt idx="12">
                  <c:v>292306.380923995</c:v>
                </c:pt>
                <c:pt idx="13">
                  <c:v>301977.034043789</c:v>
                </c:pt>
                <c:pt idx="14">
                  <c:v>309346.784398333</c:v>
                </c:pt>
              </c:numCache>
            </c:numRef>
          </c:val>
        </c:ser>
        <c:dLbls>
          <c:showLegendKey val="0"/>
          <c:showVal val="0"/>
          <c:showCatName val="0"/>
          <c:showSerName val="0"/>
          <c:showPercent val="0"/>
          <c:showBubbleSize val="1"/>
        </c:dLbls>
        <c:gapWidth val="150"/>
        <c:overlap val="0"/>
        <c:axId val="68362316"/>
        <c:axId val="81495359"/>
      </c:barChart>
      <c:lineChart>
        <c:grouping val="standard"/>
        <c:varyColors val="0"/>
        <c:ser>
          <c:idx val="1"/>
          <c:order val="1"/>
          <c:tx>
            <c:strRef>
              <c:f>"YoY Growth"</c:f>
              <c:strCache>
                <c:ptCount val="1"/>
                <c:pt idx="0">
                  <c:v>YoY Growth</c:v>
                </c:pt>
              </c:strCache>
            </c:strRef>
          </c:tx>
          <c:spPr>
            <a:ln w="47520" cap="rnd" cmpd="sng" algn="ctr">
              <a:solidFill>
                <a:srgbClr val="93CDDD"/>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numRef>
              <c:f>'Income Statement'!$C$8:$Q$8</c:f>
              <c:numCache>
                <c:formatCode>General</c:formatCode>
                <c:ptCount val="15"/>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numCache>
            </c:numRef>
          </c:cat>
          <c:val>
            <c:numRef>
              <c:f>'Revenue Buildup'!$C$16:$Q$16</c:f>
              <c:numCache>
                <c:formatCode>0.00%</c:formatCode>
                <c:ptCount val="15"/>
                <c:pt idx="1">
                  <c:v>0.206558643878298</c:v>
                </c:pt>
                <c:pt idx="2">
                  <c:v>0.0470337337412361</c:v>
                </c:pt>
                <c:pt idx="3">
                  <c:v>0.0606494436129368</c:v>
                </c:pt>
                <c:pt idx="4">
                  <c:v>0.0960795140806185</c:v>
                </c:pt>
                <c:pt idx="5">
                  <c:v>0.095850477316006</c:v>
                </c:pt>
                <c:pt idx="6">
                  <c:v>0.0952880443343174</c:v>
                </c:pt>
                <c:pt idx="7">
                  <c:v>0.0861345164572078</c:v>
                </c:pt>
                <c:pt idx="8">
                  <c:v>0.0770916238099917</c:v>
                </c:pt>
                <c:pt idx="9">
                  <c:v>0.0681486415174151</c:v>
                </c:pt>
                <c:pt idx="10">
                  <c:v>0.0592925566076961</c:v>
                </c:pt>
                <c:pt idx="11">
                  <c:v>0.0505081662497486</c:v>
                </c:pt>
                <c:pt idx="12">
                  <c:v>0.0417782706185497</c:v>
                </c:pt>
                <c:pt idx="13">
                  <c:v>0.0330839617295524</c:v>
                </c:pt>
                <c:pt idx="14">
                  <c:v>0.0244050027773821</c:v>
                </c:pt>
              </c:numCache>
            </c:numRef>
          </c:val>
          <c:smooth val="0"/>
        </c:ser>
        <c:dLbls>
          <c:showLegendKey val="0"/>
          <c:showVal val="0"/>
          <c:showCatName val="0"/>
          <c:showSerName val="0"/>
          <c:showPercent val="0"/>
          <c:showBubbleSize val="1"/>
        </c:dLbls>
        <c:hiLowLines>
          <c:spPr>
            <a:ln w="0" cap="flat" cmpd="sng" algn="ctr">
              <a:noFill/>
              <a:prstDash val="solid"/>
              <a:round/>
            </a:ln>
          </c:spPr>
        </c:hiLowLines>
        <c:marker val="0"/>
        <c:smooth val="0"/>
        <c:axId val="1540161"/>
        <c:axId val="15244115"/>
      </c:lineChart>
      <c:catAx>
        <c:axId val="68362316"/>
        <c:scaling>
          <c:orientation val="minMax"/>
        </c:scaling>
        <c:delete val="0"/>
        <c:axPos val="b"/>
        <c:numFmt formatCode="General" sourceLinked="0"/>
        <c:majorTickMark val="out"/>
        <c:minorTickMark val="none"/>
        <c:tickLblPos val="nextTo"/>
        <c:spPr>
          <a:ln w="9360" cap="flat" cmpd="sng" algn="ctr">
            <a:solidFill>
              <a:srgbClr val="878787"/>
            </a:solidFill>
            <a:prstDash val="solid"/>
            <a:round/>
          </a:ln>
        </c:spPr>
        <c:txPr>
          <a:bodyPr rot="-2640000" spcFirstLastPara="0" vertOverflow="ellipsis" vert="horz" wrap="square" anchor="ctr" anchorCtr="1"/>
          <a:lstStyle/>
          <a:p>
            <a:pPr>
              <a:defRPr lang="en-US" sz="1000" b="0" i="0" u="none" strike="noStrike" kern="1200" spc="-1" baseline="0">
                <a:solidFill>
                  <a:srgbClr val="FFFFFF"/>
                </a:solidFill>
                <a:latin typeface="Calibri" panose="020F0502020204030204"/>
                <a:ea typeface="+mn-ea"/>
                <a:cs typeface="+mn-cs"/>
              </a:defRPr>
            </a:pPr>
          </a:p>
        </c:txPr>
        <c:crossAx val="81495359"/>
        <c:crosses val="autoZero"/>
        <c:auto val="1"/>
        <c:lblAlgn val="ctr"/>
        <c:lblOffset val="100"/>
        <c:noMultiLvlLbl val="0"/>
      </c:catAx>
      <c:valAx>
        <c:axId val="81495359"/>
        <c:scaling>
          <c:orientation val="minMax"/>
        </c:scaling>
        <c:delete val="0"/>
        <c:axPos val="l"/>
        <c:majorGridlines>
          <c:spPr>
            <a:ln w="9360" cap="flat" cmpd="sng" algn="ctr">
              <a:solidFill>
                <a:srgbClr val="878787"/>
              </a:solidFill>
              <a:prstDash val="solid"/>
              <a:round/>
            </a:ln>
          </c:spPr>
        </c:majorGridlines>
        <c:numFmt formatCode="_(* #,##0_);_(* \(#,##0\);_(* \-_);_(@_)" sourceLinked="0"/>
        <c:majorTickMark val="out"/>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FFFFFF"/>
                </a:solidFill>
                <a:latin typeface="Calibri" panose="020F0502020204030204"/>
                <a:ea typeface="+mn-ea"/>
                <a:cs typeface="+mn-cs"/>
              </a:defRPr>
            </a:pPr>
          </a:p>
        </c:txPr>
        <c:crossAx val="68362316"/>
        <c:crosses val="autoZero"/>
        <c:crossBetween val="between"/>
      </c:valAx>
      <c:catAx>
        <c:axId val="1540161"/>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spc="-1" baseline="0">
                <a:solidFill>
                  <a:srgbClr val="FFFFFF"/>
                </a:solidFill>
                <a:latin typeface="Calibri" panose="020F0502020204030204"/>
                <a:ea typeface="+mn-ea"/>
                <a:cs typeface="+mn-cs"/>
              </a:defRPr>
            </a:pPr>
          </a:p>
        </c:txPr>
        <c:crossAx val="15244115"/>
        <c:crosses val="autoZero"/>
        <c:auto val="1"/>
        <c:lblAlgn val="ctr"/>
        <c:lblOffset val="100"/>
        <c:noMultiLvlLbl val="0"/>
      </c:catAx>
      <c:valAx>
        <c:axId val="15244115"/>
        <c:scaling>
          <c:orientation val="minMax"/>
        </c:scaling>
        <c:delete val="0"/>
        <c:axPos val="r"/>
        <c:numFmt formatCode="0%" sourceLinked="0"/>
        <c:majorTickMark val="out"/>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FFFFFF"/>
                </a:solidFill>
                <a:latin typeface="Calibri" panose="020F0502020204030204"/>
                <a:ea typeface="+mn-ea"/>
                <a:cs typeface="+mn-cs"/>
              </a:defRPr>
            </a:pPr>
          </a:p>
        </c:txPr>
        <c:crossAx val="1540161"/>
        <c:crosses val="max"/>
        <c:crossBetween val="between"/>
      </c:valAx>
      <c:spPr>
        <a:noFill/>
        <a:ln w="0">
          <a:noFill/>
        </a:ln>
      </c:spPr>
    </c:plotArea>
    <c:legend>
      <c:legendPos val="b"/>
      <c:layout/>
      <c:overlay val="0"/>
      <c:spPr>
        <a:noFill/>
        <a:ln w="0">
          <a:noFill/>
        </a:ln>
      </c:spPr>
      <c:txPr>
        <a:bodyPr rot="0" spcFirstLastPara="0" vertOverflow="ellipsis" vert="horz" wrap="square" anchor="ctr" anchorCtr="1"/>
        <a:lstStyle/>
        <a:p>
          <a:pPr>
            <a:defRPr lang="en-US" sz="1000" b="0" i="0" u="none" strike="noStrike" kern="1200" spc="-1" baseline="0">
              <a:solidFill>
                <a:srgbClr val="FFFFFF"/>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ddb2b752-d93d-4b5d-bad1-a3db7e99010a}"/>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IN" sz="1800" b="1" i="0" u="none" strike="noStrike" kern="1200" spc="-1" baseline="0">
                <a:solidFill>
                  <a:srgbClr val="FFFFFF"/>
                </a:solidFill>
                <a:latin typeface="Calibri" panose="020F0502020204030204"/>
                <a:ea typeface="+mn-ea"/>
                <a:cs typeface="+mn-cs"/>
              </a:defRPr>
            </a:pPr>
            <a:r>
              <a:rPr lang="en-IN" sz="1800" b="1" strike="noStrike" spc="-1">
                <a:solidFill>
                  <a:srgbClr val="FFFFFF"/>
                </a:solidFill>
                <a:latin typeface="Calibri" panose="020F0502020204030204"/>
              </a:rPr>
              <a:t>EBITDA vs Net Profit</a:t>
            </a:r>
            <a:endParaRPr lang="en-IN" sz="1800" b="1" strike="noStrike" spc="-1">
              <a:solidFill>
                <a:srgbClr val="FFFFFF"/>
              </a:solidFill>
              <a:latin typeface="Calibri" panose="020F0502020204030204"/>
            </a:endParaRPr>
          </a:p>
        </c:rich>
      </c:tx>
      <c:layout/>
      <c:overlay val="0"/>
      <c:spPr>
        <a:noFill/>
        <a:ln w="0">
          <a:noFill/>
        </a:ln>
      </c:spPr>
    </c:title>
    <c:autoTitleDeleted val="0"/>
    <c:plotArea>
      <c:layout/>
      <c:barChart>
        <c:barDir val="col"/>
        <c:grouping val="clustered"/>
        <c:varyColors val="0"/>
        <c:ser>
          <c:idx val="0"/>
          <c:order val="0"/>
          <c:tx>
            <c:strRef>
              <c:f>'Income Statement'!$B$27</c:f>
              <c:strCache>
                <c:ptCount val="1"/>
                <c:pt idx="0">
                  <c:v>EBITDA</c:v>
                </c:pt>
              </c:strCache>
            </c:strRef>
          </c:tx>
          <c:spPr>
            <a:solidFill>
              <a:srgbClr val="4F81BD"/>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numRef>
              <c:f>'Ratio Analysis'!$C$8:$Q$8</c:f>
              <c:numCache>
                <c:formatCode>General</c:formatCode>
                <c:ptCount val="15"/>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numCache>
            </c:numRef>
          </c:cat>
          <c:val>
            <c:numRef>
              <c:f>'Income Statement'!$C$27:$Q$27</c:f>
              <c:numCache>
                <c:formatCode>_ * #,##0.00_ ;_ * \-#,##0.00_ ;_ * \-??_ ;_ @_ </c:formatCode>
                <c:ptCount val="15"/>
                <c:pt idx="0">
                  <c:v>31491</c:v>
                </c:pt>
                <c:pt idx="1">
                  <c:v>35130</c:v>
                </c:pt>
                <c:pt idx="2">
                  <c:v>36425</c:v>
                </c:pt>
                <c:pt idx="3">
                  <c:v>39236</c:v>
                </c:pt>
                <c:pt idx="4">
                  <c:v>42280</c:v>
                </c:pt>
                <c:pt idx="5">
                  <c:v>74387.9465553981</c:v>
                </c:pt>
                <c:pt idx="6">
                  <c:v>81476.2285047074</c:v>
                </c:pt>
                <c:pt idx="7">
                  <c:v>88494.144049717</c:v>
                </c:pt>
                <c:pt idx="8">
                  <c:v>95316.3013121846</c:v>
                </c:pt>
                <c:pt idx="9">
                  <c:v>101811.977761075</c:v>
                </c:pt>
                <c:pt idx="10">
                  <c:v>107848.670215815</c:v>
                </c:pt>
                <c:pt idx="11">
                  <c:v>113295.90878089</c:v>
                </c:pt>
                <c:pt idx="12">
                  <c:v>118029.215917912</c:v>
                </c:pt>
                <c:pt idx="13">
                  <c:v>121934.08998031</c:v>
                </c:pt>
                <c:pt idx="14">
                  <c:v>124909.891784937</c:v>
                </c:pt>
              </c:numCache>
            </c:numRef>
          </c:val>
        </c:ser>
        <c:ser>
          <c:idx val="1"/>
          <c:order val="1"/>
          <c:tx>
            <c:strRef>
              <c:f>"Net Profit"</c:f>
              <c:strCache>
                <c:ptCount val="1"/>
                <c:pt idx="0">
                  <c:v>Net Profit</c:v>
                </c:pt>
              </c:strCache>
            </c:strRef>
          </c:tx>
          <c:spPr>
            <a:solidFill>
              <a:srgbClr val="C0504D"/>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numRef>
              <c:f>'Ratio Analysis'!$C$8:$Q$8</c:f>
              <c:numCache>
                <c:formatCode>General</c:formatCode>
                <c:ptCount val="15"/>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numCache>
            </c:numRef>
          </c:cat>
          <c:val>
            <c:numRef>
              <c:f>'Income Statement'!$C$44:$Q$44</c:f>
              <c:numCache>
                <c:formatCode>_ * #,##0.00_ ;_ * \-#,##0.00_ ;_ * \-??_ ;_ @_ </c:formatCode>
                <c:ptCount val="15"/>
                <c:pt idx="0">
                  <c:v>22146</c:v>
                </c:pt>
                <c:pt idx="1">
                  <c:v>24108</c:v>
                </c:pt>
                <c:pt idx="2">
                  <c:v>26248</c:v>
                </c:pt>
                <c:pt idx="3">
                  <c:v>26750</c:v>
                </c:pt>
                <c:pt idx="4">
                  <c:v>29474</c:v>
                </c:pt>
                <c:pt idx="5">
                  <c:v>49196.0634057627</c:v>
                </c:pt>
                <c:pt idx="6">
                  <c:v>53878.3818259366</c:v>
                </c:pt>
                <c:pt idx="7">
                  <c:v>58472.3350465957</c:v>
                </c:pt>
                <c:pt idx="8">
                  <c:v>62803.4242275499</c:v>
                </c:pt>
                <c:pt idx="9">
                  <c:v>66963.5632960388</c:v>
                </c:pt>
                <c:pt idx="10">
                  <c:v>70775.9462431087</c:v>
                </c:pt>
                <c:pt idx="11">
                  <c:v>74064.5856399566</c:v>
                </c:pt>
                <c:pt idx="12">
                  <c:v>76934.8996352293</c:v>
                </c:pt>
                <c:pt idx="13">
                  <c:v>79224.1016009241</c:v>
                </c:pt>
                <c:pt idx="14">
                  <c:v>80777.8487482978</c:v>
                </c:pt>
              </c:numCache>
            </c:numRef>
          </c:val>
        </c:ser>
        <c:dLbls>
          <c:showLegendKey val="0"/>
          <c:showVal val="0"/>
          <c:showCatName val="0"/>
          <c:showSerName val="0"/>
          <c:showPercent val="0"/>
          <c:showBubbleSize val="1"/>
        </c:dLbls>
        <c:gapWidth val="150"/>
        <c:overlap val="0"/>
        <c:axId val="42768986"/>
        <c:axId val="55205144"/>
      </c:barChart>
      <c:catAx>
        <c:axId val="42768986"/>
        <c:scaling>
          <c:orientation val="minMax"/>
        </c:scaling>
        <c:delete val="0"/>
        <c:axPos val="b"/>
        <c:numFmt formatCode="General" sourceLinked="0"/>
        <c:majorTickMark val="out"/>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FFFFFF"/>
                </a:solidFill>
                <a:latin typeface="Calibri" panose="020F0502020204030204"/>
                <a:ea typeface="+mn-ea"/>
                <a:cs typeface="+mn-cs"/>
              </a:defRPr>
            </a:pPr>
          </a:p>
        </c:txPr>
        <c:crossAx val="55205144"/>
        <c:crosses val="autoZero"/>
        <c:auto val="1"/>
        <c:lblAlgn val="ctr"/>
        <c:lblOffset val="100"/>
        <c:noMultiLvlLbl val="0"/>
      </c:catAx>
      <c:valAx>
        <c:axId val="55205144"/>
        <c:scaling>
          <c:orientation val="minMax"/>
        </c:scaling>
        <c:delete val="0"/>
        <c:axPos val="l"/>
        <c:majorGridlines>
          <c:spPr>
            <a:ln w="9360" cap="flat" cmpd="sng" algn="ctr">
              <a:solidFill>
                <a:srgbClr val="878787"/>
              </a:solidFill>
              <a:prstDash val="solid"/>
              <a:round/>
            </a:ln>
          </c:spPr>
        </c:majorGridlines>
        <c:numFmt formatCode="_ * #,##0.00_ ;_ * \-#,##0.00_ ;_ * \-??_ ;_ @_ " sourceLinked="0"/>
        <c:majorTickMark val="out"/>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FFFFFF"/>
                </a:solidFill>
                <a:latin typeface="Calibri" panose="020F0502020204030204"/>
                <a:ea typeface="+mn-ea"/>
                <a:cs typeface="+mn-cs"/>
              </a:defRPr>
            </a:pPr>
          </a:p>
        </c:txPr>
        <c:crossAx val="42768986"/>
        <c:crosses val="autoZero"/>
        <c:crossBetween val="between"/>
      </c:valAx>
      <c:spPr>
        <a:noFill/>
        <a:ln w="0">
          <a:noFill/>
        </a:ln>
      </c:spPr>
    </c:plotArea>
    <c:legend>
      <c:legendPos val="b"/>
      <c:layout/>
      <c:overlay val="0"/>
      <c:spPr>
        <a:noFill/>
        <a:ln w="0">
          <a:noFill/>
        </a:ln>
      </c:spPr>
      <c:txPr>
        <a:bodyPr rot="0" spcFirstLastPara="0" vertOverflow="ellipsis" vert="horz" wrap="square" anchor="ctr" anchorCtr="1"/>
        <a:lstStyle/>
        <a:p>
          <a:pPr>
            <a:defRPr lang="en-US" sz="1000" b="0" i="0" u="none" strike="noStrike" kern="1200" spc="-1" baseline="0">
              <a:solidFill>
                <a:srgbClr val="FFFFFF"/>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3e47665b-c059-44f0-8960-bc36957bc7b5}"/>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IN" sz="1800" b="1" i="0" u="none" strike="noStrike" kern="1200" spc="-1" baseline="0">
                <a:solidFill>
                  <a:srgbClr val="FFFFFF"/>
                </a:solidFill>
                <a:latin typeface="Calibri" panose="020F0502020204030204"/>
                <a:ea typeface="+mn-ea"/>
                <a:cs typeface="+mn-cs"/>
              </a:defRPr>
            </a:pPr>
            <a:r>
              <a:rPr lang="en-IN" sz="1800" b="1" strike="noStrike" spc="-1">
                <a:solidFill>
                  <a:srgbClr val="FFFFFF"/>
                </a:solidFill>
                <a:latin typeface="Calibri" panose="020F0502020204030204"/>
              </a:rPr>
              <a:t>ROE vs ROCE</a:t>
            </a:r>
            <a:endParaRPr lang="en-IN" sz="1800" b="1" strike="noStrike" spc="-1">
              <a:solidFill>
                <a:srgbClr val="FFFFFF"/>
              </a:solidFill>
              <a:latin typeface="Calibri" panose="020F0502020204030204"/>
            </a:endParaRPr>
          </a:p>
        </c:rich>
      </c:tx>
      <c:layout/>
      <c:overlay val="0"/>
      <c:spPr>
        <a:noFill/>
        <a:ln w="0">
          <a:noFill/>
        </a:ln>
      </c:spPr>
    </c:title>
    <c:autoTitleDeleted val="0"/>
    <c:plotArea>
      <c:layout>
        <c:manualLayout>
          <c:layoutTarget val="inner"/>
          <c:xMode val="edge"/>
          <c:yMode val="edge"/>
          <c:x val="0.0496717938669541"/>
          <c:y val="0.140859140859141"/>
          <c:w val="0.924169687469384"/>
          <c:h val="0.741258741258741"/>
        </c:manualLayout>
      </c:layout>
      <c:barChart>
        <c:barDir val="col"/>
        <c:grouping val="clustered"/>
        <c:varyColors val="0"/>
        <c:ser>
          <c:idx val="0"/>
          <c:order val="0"/>
          <c:tx>
            <c:strRef>
              <c:f>"Return on Equity"</c:f>
              <c:strCache>
                <c:ptCount val="1"/>
                <c:pt idx="0">
                  <c:v>Return on Equity</c:v>
                </c:pt>
              </c:strCache>
            </c:strRef>
          </c:tx>
          <c:spPr>
            <a:solidFill>
              <a:srgbClr val="4F81BD"/>
            </a:solidFill>
            <a:ln w="0">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numRef>
              <c:f>'Balance Sheet'!$D$8:$R$8</c:f>
              <c:numCache>
                <c:formatCode>General</c:formatCode>
                <c:ptCount val="15"/>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numCache>
            </c:numRef>
          </c:cat>
          <c:val>
            <c:numRef>
              <c:f>'Ratio Analysis'!$C$22:$Q$22</c:f>
              <c:numCache>
                <c:formatCode>General</c:formatCode>
                <c:ptCount val="15"/>
                <c:pt idx="1" c:formatCode="0.00%">
                  <c:v>0.318192317083633</c:v>
                </c:pt>
                <c:pt idx="2" c:formatCode="0.00%">
                  <c:v>0.319598675238652</c:v>
                </c:pt>
                <c:pt idx="3" c:formatCode="0.00%">
                  <c:v>0.289715374951263</c:v>
                </c:pt>
                <c:pt idx="4" c:formatCode="0.00%">
                  <c:v>0.311071240105541</c:v>
                </c:pt>
                <c:pt idx="5" c:formatCode="0.00%">
                  <c:v>0.482478031548334</c:v>
                </c:pt>
                <c:pt idx="6" c:formatCode="0.00%">
                  <c:v>0.448511032539965</c:v>
                </c:pt>
                <c:pt idx="7" c:formatCode="0.00%">
                  <c:v>0.417887806390419</c:v>
                </c:pt>
                <c:pt idx="8" c:formatCode="0.00%">
                  <c:v>0.389376128888772</c:v>
                </c:pt>
                <c:pt idx="9" c:formatCode="0.00%">
                  <c:v>0.363621139605069</c:v>
                </c:pt>
                <c:pt idx="10" c:formatCode="0.00%">
                  <c:v>0.339571302313537</c:v>
                </c:pt>
                <c:pt idx="11" c:formatCode="0.00%">
                  <c:v>0.316585140171158</c:v>
                </c:pt>
                <c:pt idx="12" c:formatCode="0.00%">
                  <c:v>0.295273554869716</c:v>
                </c:pt>
                <c:pt idx="13" c:formatCode="0.00%">
                  <c:v>0.275016814039731</c:v>
                </c:pt>
                <c:pt idx="14" c:formatCode="0.00%">
                  <c:v>0.255413905505312</c:v>
                </c:pt>
              </c:numCache>
            </c:numRef>
          </c:val>
        </c:ser>
        <c:dLbls>
          <c:showLegendKey val="0"/>
          <c:showVal val="0"/>
          <c:showCatName val="0"/>
          <c:showSerName val="0"/>
          <c:showPercent val="0"/>
          <c:showBubbleSize val="1"/>
        </c:dLbls>
        <c:gapWidth val="150"/>
        <c:overlap val="0"/>
        <c:axId val="89199993"/>
        <c:axId val="97185988"/>
      </c:barChart>
      <c:lineChart>
        <c:grouping val="standard"/>
        <c:varyColors val="0"/>
        <c:ser>
          <c:idx val="1"/>
          <c:order val="1"/>
          <c:tx>
            <c:strRef>
              <c:f>"Return on Capital Employed"</c:f>
              <c:strCache>
                <c:ptCount val="1"/>
                <c:pt idx="0">
                  <c:v>Return on Capital Employed</c:v>
                </c:pt>
              </c:strCache>
            </c:strRef>
          </c:tx>
          <c:spPr>
            <a:ln w="28440" cap="rnd" cmpd="sng" algn="ctr">
              <a:solidFill>
                <a:srgbClr val="BE4B48"/>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0"/>
                <c15:leaderLines/>
              </c:ext>
            </c:extLst>
          </c:dLbls>
          <c:cat>
            <c:numRef>
              <c:f>'Balance Sheet'!$D$8:$R$8</c:f>
              <c:numCache>
                <c:formatCode>General</c:formatCode>
                <c:ptCount val="15"/>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pt idx="14">
                  <c:v>2036</c:v>
                </c:pt>
              </c:numCache>
            </c:numRef>
          </c:cat>
          <c:val>
            <c:numRef>
              <c:f>'Ratio Analysis'!$C$39:$Q$39</c:f>
              <c:numCache>
                <c:formatCode>0.00%</c:formatCode>
                <c:ptCount val="15"/>
                <c:pt idx="1">
                  <c:v>0.298814820636419</c:v>
                </c:pt>
                <c:pt idx="2">
                  <c:v>0.292821830444479</c:v>
                </c:pt>
                <c:pt idx="3">
                  <c:v>0.278764261167015</c:v>
                </c:pt>
                <c:pt idx="4">
                  <c:v>0.316617415139538</c:v>
                </c:pt>
                <c:pt idx="5">
                  <c:v>0.316403196724697</c:v>
                </c:pt>
                <c:pt idx="6">
                  <c:v>0.541177556002634</c:v>
                </c:pt>
                <c:pt idx="7">
                  <c:v>0.556060056019129</c:v>
                </c:pt>
                <c:pt idx="8">
                  <c:v>0.568811368199461</c:v>
                </c:pt>
                <c:pt idx="9">
                  <c:v>0.578751136415751</c:v>
                </c:pt>
                <c:pt idx="10">
                  <c:v>0.587638671339283</c:v>
                </c:pt>
                <c:pt idx="11">
                  <c:v>0.594644968424632</c:v>
                </c:pt>
                <c:pt idx="12">
                  <c:v>0.599138806986987</c:v>
                </c:pt>
                <c:pt idx="13">
                  <c:v>0.602670465686545</c:v>
                </c:pt>
                <c:pt idx="14">
                  <c:v>0.604462181413086</c:v>
                </c:pt>
              </c:numCache>
            </c:numRef>
          </c:val>
          <c:smooth val="0"/>
        </c:ser>
        <c:dLbls>
          <c:showLegendKey val="0"/>
          <c:showVal val="0"/>
          <c:showCatName val="0"/>
          <c:showSerName val="0"/>
          <c:showPercent val="0"/>
          <c:showBubbleSize val="1"/>
        </c:dLbls>
        <c:hiLowLines>
          <c:spPr>
            <a:ln w="0" cap="flat" cmpd="sng" algn="ctr">
              <a:noFill/>
              <a:prstDash val="solid"/>
              <a:round/>
            </a:ln>
          </c:spPr>
        </c:hiLowLines>
        <c:marker val="0"/>
        <c:smooth val="0"/>
        <c:axId val="89199993"/>
        <c:axId val="97185988"/>
      </c:lineChart>
      <c:catAx>
        <c:axId val="89199993"/>
        <c:scaling>
          <c:orientation val="minMax"/>
        </c:scaling>
        <c:delete val="0"/>
        <c:axPos val="b"/>
        <c:numFmt formatCode="General" sourceLinked="0"/>
        <c:majorTickMark val="out"/>
        <c:minorTickMark val="none"/>
        <c:tickLblPos val="nextTo"/>
        <c:spPr>
          <a:ln w="9360" cap="flat" cmpd="sng" algn="ctr">
            <a:solidFill>
              <a:srgbClr val="878787"/>
            </a:solidFill>
            <a:prstDash val="solid"/>
            <a:round/>
          </a:ln>
        </c:spPr>
        <c:txPr>
          <a:bodyPr rot="-2580000" spcFirstLastPara="0" vertOverflow="ellipsis" vert="horz" wrap="square" anchor="ctr" anchorCtr="1"/>
          <a:lstStyle/>
          <a:p>
            <a:pPr>
              <a:defRPr lang="en-US" sz="1000" b="0" i="0" u="none" strike="noStrike" kern="1200" spc="-1" baseline="0">
                <a:solidFill>
                  <a:srgbClr val="FFFFFF"/>
                </a:solidFill>
                <a:latin typeface="Calibri" panose="020F0502020204030204"/>
                <a:ea typeface="+mn-ea"/>
                <a:cs typeface="+mn-cs"/>
              </a:defRPr>
            </a:pPr>
          </a:p>
        </c:txPr>
        <c:crossAx val="97185988"/>
        <c:crosses val="autoZero"/>
        <c:auto val="1"/>
        <c:lblAlgn val="ctr"/>
        <c:lblOffset val="100"/>
        <c:noMultiLvlLbl val="0"/>
      </c:catAx>
      <c:valAx>
        <c:axId val="97185988"/>
        <c:scaling>
          <c:orientation val="minMax"/>
        </c:scaling>
        <c:delete val="0"/>
        <c:axPos val="l"/>
        <c:majorGridlines>
          <c:spPr>
            <a:ln w="9360" cap="flat" cmpd="sng" algn="ctr">
              <a:solidFill>
                <a:srgbClr val="878787"/>
              </a:solidFill>
              <a:prstDash val="solid"/>
              <a:round/>
            </a:ln>
          </c:spPr>
        </c:majorGridlines>
        <c:numFmt formatCode="0%" sourceLinked="0"/>
        <c:majorTickMark val="out"/>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FFFFFF"/>
                </a:solidFill>
                <a:latin typeface="Calibri" panose="020F0502020204030204"/>
                <a:ea typeface="+mn-ea"/>
                <a:cs typeface="+mn-cs"/>
              </a:defRPr>
            </a:pPr>
          </a:p>
        </c:txPr>
        <c:crossAx val="89199993"/>
        <c:crosses val="autoZero"/>
        <c:crossBetween val="between"/>
      </c:valAx>
      <c:spPr>
        <a:noFill/>
        <a:ln w="0">
          <a:noFill/>
        </a:ln>
      </c:spPr>
    </c:plotArea>
    <c:legend>
      <c:legendPos val="b"/>
      <c:layout>
        <c:manualLayout>
          <c:xMode val="edge"/>
          <c:yMode val="edge"/>
          <c:x val="0.280044873390797"/>
          <c:y val="0.938609275665746"/>
          <c:w val="0.436745116598295"/>
          <c:h val="0.061390724334254"/>
        </c:manualLayout>
      </c:layout>
      <c:overlay val="0"/>
      <c:spPr>
        <a:noFill/>
        <a:ln w="0">
          <a:noFill/>
        </a:ln>
      </c:spPr>
      <c:txPr>
        <a:bodyPr rot="0" spcFirstLastPara="0" vertOverflow="ellipsis" vert="horz" wrap="square" anchor="ctr" anchorCtr="1"/>
        <a:lstStyle/>
        <a:p>
          <a:pPr>
            <a:defRPr lang="en-US" sz="1000" b="0" i="0" u="none" strike="noStrike" kern="1200" spc="-1" baseline="0">
              <a:solidFill>
                <a:srgbClr val="FFFFFF"/>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1fe5648d-9526-43cb-868a-aa5b2533a3af}"/>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1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8255</xdr:colOff>
      <xdr:row>0</xdr:row>
      <xdr:rowOff>535305</xdr:rowOff>
    </xdr:from>
    <xdr:to>
      <xdr:col>20</xdr:col>
      <xdr:colOff>255270</xdr:colOff>
      <xdr:row>9</xdr:row>
      <xdr:rowOff>146685</xdr:rowOff>
    </xdr:to>
    <xdr:pic>
      <xdr:nvPicPr>
        <xdr:cNvPr id="2" name="Picture 1"/>
        <xdr:cNvPicPr>
          <a:picLocks noChangeAspect="1"/>
        </xdr:cNvPicPr>
      </xdr:nvPicPr>
      <xdr:blipFill>
        <a:blip r:embed="rId1"/>
        <a:stretch>
          <a:fillRect/>
        </a:stretch>
      </xdr:blipFill>
      <xdr:spPr>
        <a:xfrm>
          <a:off x="7940040" y="535305"/>
          <a:ext cx="4518660" cy="2148840"/>
        </a:xfrm>
        <a:prstGeom prst="rect">
          <a:avLst/>
        </a:prstGeom>
        <a:noFill/>
        <a:ln w="9525">
          <a:noFill/>
        </a:ln>
        <a:effectLst>
          <a:glow rad="139700">
            <a:schemeClr val="accent1">
              <a:satMod val="175000"/>
              <a:alpha val="40000"/>
            </a:schemeClr>
          </a:glow>
        </a:effectLst>
        <a:scene3d>
          <a:camera prst="perspectiveFront"/>
          <a:lightRig rig="threePt" dir="t"/>
        </a:scene3d>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673100</xdr:colOff>
      <xdr:row>1</xdr:row>
      <xdr:rowOff>125095</xdr:rowOff>
    </xdr:from>
    <xdr:to>
      <xdr:col>14</xdr:col>
      <xdr:colOff>461010</xdr:colOff>
      <xdr:row>21</xdr:row>
      <xdr:rowOff>152400</xdr:rowOff>
    </xdr:to>
    <xdr:pic>
      <xdr:nvPicPr>
        <xdr:cNvPr id="2" name="Picture 1" descr="C:/Users/ka655/OneDrive/Pictures/Screenshots/Screenshot 2026-10-17 185333.pngScreenshot 2026-10-17 185333"/>
        <xdr:cNvPicPr/>
      </xdr:nvPicPr>
      <xdr:blipFill>
        <a:blip r:embed="rId1"/>
        <a:srcRect l="300" r="300"/>
        <a:stretch>
          <a:fillRect/>
        </a:stretch>
      </xdr:blipFill>
      <xdr:spPr>
        <a:xfrm>
          <a:off x="8648065" y="300355"/>
          <a:ext cx="5985510" cy="4500245"/>
        </a:xfrm>
        <a:prstGeom prst="rect">
          <a:avLst/>
        </a:prstGeom>
        <a:ln w="0">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45</xdr:col>
      <xdr:colOff>0</xdr:colOff>
      <xdr:row>35</xdr:row>
      <xdr:rowOff>136080</xdr:rowOff>
    </xdr:from>
    <xdr:to>
      <xdr:col>56</xdr:col>
      <xdr:colOff>223920</xdr:colOff>
      <xdr:row>61</xdr:row>
      <xdr:rowOff>157320</xdr:rowOff>
    </xdr:to>
    <xdr:pic>
      <xdr:nvPicPr>
        <xdr:cNvPr id="2" name="Picture 17"/>
        <xdr:cNvPicPr/>
      </xdr:nvPicPr>
      <xdr:blipFill>
        <a:blip r:embed="rId1"/>
        <a:stretch>
          <a:fillRect/>
        </a:stretch>
      </xdr:blipFill>
      <xdr:spPr>
        <a:xfrm>
          <a:off x="33800415" y="6231890"/>
          <a:ext cx="6887210" cy="4497705"/>
        </a:xfrm>
        <a:prstGeom prst="rect">
          <a:avLst/>
        </a:prstGeom>
        <a:ln w="0">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284480</xdr:colOff>
      <xdr:row>12</xdr:row>
      <xdr:rowOff>66040</xdr:rowOff>
    </xdr:from>
    <xdr:to>
      <xdr:col>8</xdr:col>
      <xdr:colOff>139700</xdr:colOff>
      <xdr:row>27</xdr:row>
      <xdr:rowOff>180340</xdr:rowOff>
    </xdr:to>
    <xdr:graphicFrame>
      <xdr:nvGraphicFramePr>
        <xdr:cNvPr id="3" name="Chart 2"/>
        <xdr:cNvGraphicFramePr/>
      </xdr:nvGraphicFramePr>
      <xdr:xfrm>
        <a:off x="284480" y="3114040"/>
        <a:ext cx="6997700" cy="2846070"/>
      </xdr:xfrm>
      <a:graphic>
        <a:graphicData uri="http://schemas.openxmlformats.org/drawingml/2006/chart">
          <c:chart xmlns:c="http://schemas.openxmlformats.org/drawingml/2006/chart" xmlns:r="http://schemas.openxmlformats.org/officeDocument/2006/relationships" r:id="rId1"/>
        </a:graphicData>
      </a:graphic>
    </xdr:graphicFrame>
    <xdr:clientData fPrintsWithSheet="0"/>
  </xdr:twoCellAnchor>
  <xdr:twoCellAnchor>
    <xdr:from>
      <xdr:col>0</xdr:col>
      <xdr:colOff>746760</xdr:colOff>
      <xdr:row>17</xdr:row>
      <xdr:rowOff>160020</xdr:rowOff>
    </xdr:from>
    <xdr:to>
      <xdr:col>7</xdr:col>
      <xdr:colOff>556260</xdr:colOff>
      <xdr:row>18</xdr:row>
      <xdr:rowOff>22860</xdr:rowOff>
    </xdr:to>
    <xdr:cxnSp>
      <xdr:nvCxnSpPr>
        <xdr:cNvPr id="4" name="Straight Connector 3"/>
        <xdr:cNvCxnSpPr/>
      </xdr:nvCxnSpPr>
      <xdr:spPr>
        <a:xfrm flipV="1">
          <a:off x="746760" y="4122420"/>
          <a:ext cx="5761355" cy="43815"/>
        </a:xfrm>
        <a:prstGeom prst="line">
          <a:avLst/>
        </a:prstGeom>
      </xdr:spPr>
      <xdr:style>
        <a:lnRef idx="2">
          <a:schemeClr val="accent1"/>
        </a:lnRef>
        <a:fillRef idx="0">
          <a:srgbClr val="FFFFFF"/>
        </a:fillRef>
        <a:effectRef idx="0">
          <a:srgbClr val="FFFFFF"/>
        </a:effectRef>
        <a:fontRef idx="minor">
          <a:schemeClr val="tx1"/>
        </a:fontRef>
      </xdr:style>
    </xdr:cxnSp>
    <xdr:clientData/>
  </xdr:twoCellAnchor>
  <xdr:twoCellAnchor>
    <xdr:from>
      <xdr:col>0</xdr:col>
      <xdr:colOff>464820</xdr:colOff>
      <xdr:row>17</xdr:row>
      <xdr:rowOff>144780</xdr:rowOff>
    </xdr:from>
    <xdr:to>
      <xdr:col>7</xdr:col>
      <xdr:colOff>350520</xdr:colOff>
      <xdr:row>18</xdr:row>
      <xdr:rowOff>15240</xdr:rowOff>
    </xdr:to>
    <xdr:cxnSp>
      <xdr:nvCxnSpPr>
        <xdr:cNvPr id="5" name="Straight Connector 4"/>
        <xdr:cNvCxnSpPr/>
      </xdr:nvCxnSpPr>
      <xdr:spPr>
        <a:xfrm flipV="1">
          <a:off x="464820" y="4107180"/>
          <a:ext cx="5837555" cy="51435"/>
        </a:xfrm>
        <a:prstGeom prst="line">
          <a:avLst/>
        </a:prstGeom>
        <a:ln w="9525" cap="flat" cmpd="sng" algn="ctr">
          <a:solidFill>
            <a:schemeClr val="accent2"/>
          </a:solidFill>
          <a:prstDash val="dash"/>
        </a:ln>
      </xdr:spPr>
      <xdr:style>
        <a:lnRef idx="0">
          <a:schemeClr val="accent1"/>
        </a:lnRef>
        <a:fillRef idx="0">
          <a:srgbClr val="FFFFFF"/>
        </a:fillRef>
        <a:effectRef idx="0">
          <a:srgbClr val="FFFFFF"/>
        </a:effectRef>
        <a:fontRef idx="minor">
          <a:schemeClr val="tx1"/>
        </a:fontRef>
      </xdr:style>
    </xdr:cxn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15120</xdr:colOff>
      <xdr:row>0</xdr:row>
      <xdr:rowOff>15120</xdr:rowOff>
    </xdr:from>
    <xdr:to>
      <xdr:col>11</xdr:col>
      <xdr:colOff>399240</xdr:colOff>
      <xdr:row>19</xdr:row>
      <xdr:rowOff>155160</xdr:rowOff>
    </xdr:to>
    <xdr:graphicFrame>
      <xdr:nvGraphicFramePr>
        <xdr:cNvPr id="2" name="Chart 1"/>
        <xdr:cNvGraphicFramePr/>
      </xdr:nvGraphicFramePr>
      <xdr:xfrm>
        <a:off x="14605" y="14605"/>
        <a:ext cx="7047865" cy="361505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447120</xdr:colOff>
      <xdr:row>0</xdr:row>
      <xdr:rowOff>25560</xdr:rowOff>
    </xdr:from>
    <xdr:to>
      <xdr:col>23</xdr:col>
      <xdr:colOff>297720</xdr:colOff>
      <xdr:row>19</xdr:row>
      <xdr:rowOff>154080</xdr:rowOff>
    </xdr:to>
    <xdr:graphicFrame>
      <xdr:nvGraphicFramePr>
        <xdr:cNvPr id="3" name="Chart 2"/>
        <xdr:cNvGraphicFramePr/>
      </xdr:nvGraphicFramePr>
      <xdr:xfrm>
        <a:off x="7110730" y="25400"/>
        <a:ext cx="7119620" cy="360299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353160</xdr:colOff>
      <xdr:row>20</xdr:row>
      <xdr:rowOff>34200</xdr:rowOff>
    </xdr:from>
    <xdr:to>
      <xdr:col>17</xdr:col>
      <xdr:colOff>234360</xdr:colOff>
      <xdr:row>40</xdr:row>
      <xdr:rowOff>18000</xdr:rowOff>
    </xdr:to>
    <xdr:graphicFrame>
      <xdr:nvGraphicFramePr>
        <xdr:cNvPr id="4" name="Chart 3"/>
        <xdr:cNvGraphicFramePr/>
      </xdr:nvGraphicFramePr>
      <xdr:xfrm>
        <a:off x="3382010" y="3691255"/>
        <a:ext cx="7150735" cy="364172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5" Type="http://schemas.openxmlformats.org/officeDocument/2006/relationships/hyperlink" Target="https://in.investing.com/rates-bonds/india-10-year-bond-yield-historical-data" TargetMode="External"/><Relationship Id="rId4" Type="http://schemas.openxmlformats.org/officeDocument/2006/relationships/hyperlink" Target="https://www.infosys.com/" TargetMode="External"/><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hyperlink" Target="https://www.statista.com/outlook/tmo/it-services/united-kingdom" TargetMode="External"/><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showGridLines="0" tabSelected="1" workbookViewId="0">
      <selection activeCell="F8" sqref="F8"/>
    </sheetView>
  </sheetViews>
  <sheetFormatPr defaultColWidth="8.89814814814815" defaultRowHeight="14.4"/>
  <cols>
    <col min="1" max="1" width="3.66666666666667" style="118" customWidth="1"/>
    <col min="2" max="2" width="8.89814814814815" style="121"/>
    <col min="3" max="3" width="14.1111111111111" style="118" customWidth="1"/>
    <col min="4" max="16384" width="8.89814814814815" style="121"/>
  </cols>
  <sheetData>
    <row r="1" ht="42.75" customHeight="1" spans="1:12">
      <c r="A1" s="544" t="str">
        <f>Assumptions!B2</f>
        <v>Infosys Limited</v>
      </c>
      <c r="B1" s="544"/>
      <c r="C1" s="544"/>
      <c r="D1" s="544"/>
      <c r="E1" s="544"/>
      <c r="F1" s="544"/>
    </row>
    <row r="3" ht="23.25" customHeight="1" spans="1:12">
      <c r="A3" s="545"/>
      <c r="B3" s="545" t="s">
        <v>0</v>
      </c>
      <c r="C3" s="545"/>
      <c r="D3" s="546"/>
      <c r="E3" s="546"/>
      <c r="F3" s="546"/>
      <c r="G3" s="546"/>
      <c r="H3" s="546"/>
      <c r="I3" s="546"/>
      <c r="J3" s="546"/>
    </row>
    <row r="5" ht="21" customHeight="1" spans="1:12">
      <c r="B5" s="547" t="s">
        <v>1</v>
      </c>
      <c r="C5" s="548"/>
      <c r="D5" s="548"/>
      <c r="E5" s="548"/>
    </row>
    <row r="6" ht="21" customHeight="1" spans="1:12">
      <c r="B6" s="547" t="s">
        <v>2</v>
      </c>
      <c r="C6" s="548"/>
      <c r="D6" s="548"/>
      <c r="E6" s="548"/>
    </row>
    <row r="7" ht="21" customHeight="1" spans="1:12">
      <c r="B7" s="547" t="s">
        <v>3</v>
      </c>
      <c r="C7" s="548"/>
      <c r="D7" s="548"/>
      <c r="E7" s="548"/>
    </row>
    <row r="8" ht="21" customHeight="1" spans="1:12">
      <c r="B8" s="547" t="s">
        <v>4</v>
      </c>
      <c r="C8" s="548"/>
      <c r="D8" s="548"/>
      <c r="E8" s="548"/>
    </row>
    <row r="9" ht="21" customHeight="1" spans="1:12">
      <c r="B9" s="547" t="s">
        <v>5</v>
      </c>
      <c r="C9" s="548"/>
      <c r="D9" s="548"/>
      <c r="E9" s="548"/>
    </row>
    <row r="10" ht="21" customHeight="1" spans="1:12">
      <c r="B10" s="547" t="s">
        <v>6</v>
      </c>
      <c r="C10" s="548"/>
      <c r="D10" s="548"/>
      <c r="E10" s="548"/>
    </row>
    <row r="11" ht="21" customHeight="1" spans="1:12">
      <c r="B11" s="547" t="s">
        <v>7</v>
      </c>
      <c r="C11" s="548"/>
      <c r="D11" s="548"/>
      <c r="E11" s="548"/>
    </row>
    <row r="12" ht="21" customHeight="1" spans="1:12">
      <c r="B12" s="548"/>
      <c r="C12" s="548"/>
      <c r="D12" s="548"/>
      <c r="E12" s="548"/>
    </row>
    <row r="13" ht="21" customHeight="1" spans="1:12">
      <c r="B13" s="548"/>
      <c r="C13" s="548"/>
      <c r="D13" s="548"/>
      <c r="E13" s="548"/>
    </row>
    <row r="14" ht="21" customHeight="1" spans="1:12">
      <c r="A14" s="545"/>
      <c r="B14" s="545" t="s">
        <v>8</v>
      </c>
      <c r="C14" s="545"/>
      <c r="D14" s="545"/>
      <c r="E14" s="545"/>
      <c r="F14" s="545"/>
      <c r="G14" s="545"/>
      <c r="H14" s="545"/>
      <c r="I14" s="545"/>
      <c r="J14" s="545"/>
      <c r="K14" s="545"/>
      <c r="L14" s="545"/>
    </row>
    <row r="16" ht="21" customHeight="1" spans="1:12">
      <c r="B16" s="547" t="s">
        <v>9</v>
      </c>
      <c r="C16" s="548"/>
      <c r="D16" s="548"/>
      <c r="E16" s="548"/>
    </row>
    <row r="17" ht="21" customHeight="1" spans="1:10">
      <c r="B17" s="547" t="s">
        <v>10</v>
      </c>
      <c r="C17" s="548"/>
      <c r="D17" s="548"/>
      <c r="E17" s="548"/>
    </row>
    <row r="18" ht="21" customHeight="1" spans="1:10">
      <c r="B18" s="547" t="s">
        <v>11</v>
      </c>
      <c r="C18" s="548"/>
      <c r="D18" s="548"/>
      <c r="E18" s="548"/>
    </row>
    <row r="19" ht="21" customHeight="1" spans="1:10">
      <c r="B19" s="547" t="s">
        <v>12</v>
      </c>
      <c r="C19" s="548"/>
      <c r="D19" s="548"/>
      <c r="E19" s="548"/>
    </row>
    <row r="20" ht="21" customHeight="1" spans="1:10">
      <c r="B20" s="547" t="s">
        <v>13</v>
      </c>
      <c r="C20" s="548"/>
      <c r="D20" s="548"/>
      <c r="E20" s="548"/>
    </row>
    <row r="21" ht="21" customHeight="1" spans="1:10">
      <c r="B21" s="547" t="s">
        <v>14</v>
      </c>
      <c r="C21" s="548"/>
      <c r="D21" s="548"/>
      <c r="E21" s="548"/>
    </row>
    <row r="22" ht="21" customHeight="1" spans="1:10">
      <c r="B22" s="547" t="s">
        <v>15</v>
      </c>
      <c r="C22" s="548"/>
      <c r="D22" s="548"/>
      <c r="E22" s="548"/>
    </row>
    <row r="23" ht="21" customHeight="1" spans="1:10">
      <c r="B23" s="547" t="s">
        <v>16</v>
      </c>
      <c r="C23" s="548"/>
      <c r="D23" s="548"/>
      <c r="E23" s="548"/>
    </row>
    <row r="24" ht="21" customHeight="1" spans="1:10">
      <c r="B24" s="547" t="s">
        <v>17</v>
      </c>
      <c r="C24" s="548"/>
      <c r="D24" s="548"/>
      <c r="E24" s="548"/>
    </row>
    <row r="25" ht="21" customHeight="1" spans="1:10">
      <c r="B25" s="547" t="s">
        <v>18</v>
      </c>
      <c r="C25" s="548"/>
      <c r="D25" s="548"/>
      <c r="E25" s="548"/>
    </row>
    <row r="26" ht="21" customHeight="1" spans="1:10">
      <c r="B26" s="547" t="s">
        <v>19</v>
      </c>
      <c r="C26" s="548"/>
      <c r="D26" s="548"/>
      <c r="E26" s="548"/>
    </row>
    <row r="27" ht="21" customHeight="1" spans="1:10">
      <c r="A27" s="117"/>
      <c r="B27" s="549" t="s">
        <v>20</v>
      </c>
      <c r="C27" s="550"/>
      <c r="D27" s="551"/>
      <c r="E27" s="551"/>
      <c r="F27" s="552"/>
      <c r="G27" s="552"/>
      <c r="H27" s="552"/>
      <c r="I27" s="552"/>
      <c r="J27" s="117"/>
    </row>
    <row r="28" ht="21" customHeight="1" spans="1:10">
      <c r="B28" s="548"/>
      <c r="C28" s="548"/>
      <c r="D28" s="548"/>
      <c r="E28" s="548"/>
    </row>
    <row r="29" ht="21" customHeight="1" spans="1:10">
      <c r="B29" s="548"/>
      <c r="C29" s="548"/>
      <c r="D29" s="548"/>
      <c r="E29" s="548"/>
    </row>
  </sheetData>
  <mergeCells count="1">
    <mergeCell ref="A1:F1"/>
  </mergeCells>
  <hyperlinks>
    <hyperlink ref="B5" location="Assumptions!B5" display="Assumptions"/>
    <hyperlink ref="B6" location="'P&amp;L Input'!B6" display="P&amp;L Input"/>
    <hyperlink ref="B7" location="'BS Input'!B6" display="BS Input"/>
    <hyperlink ref="B8" location="'CF Input'! B6" display="CF Input"/>
    <hyperlink ref="B9" location="'Market data'!B6" display="Market Data"/>
    <hyperlink ref="B10" location="'Equity Beta'!B6" display="Equity Beta"/>
    <hyperlink ref="B11" location="'Comps Data'!B6" display="Comps Data"/>
    <hyperlink ref="B16" location="'Common Sizing'!B6" display="Common Sizing"/>
    <hyperlink ref="B17" location="'Revenue Buildup'!B6" display="Revenue Build-up"/>
    <hyperlink ref="B18" location="'Working Capital'!B6" display="Working Capital"/>
    <hyperlink ref="B19" location="'Income Statement'!B6" display="Income Statement"/>
    <hyperlink ref="B20" location="'Balance Sheet'!B6" display="Balance Sheet"/>
    <hyperlink ref="B21" location="'Cash Flows'!B6" display="Cash Flows"/>
    <hyperlink ref="B22" location="'Standard Income Statement'!B6" display="Standard Income Statement"/>
    <hyperlink ref="B23" location="'Ratio Analysis'!B6" display="Ratio Analysis"/>
    <hyperlink ref="B24" location="'DCF Valuation'!B6" display="DCF Valuation"/>
    <hyperlink ref="B25" location="COMPS!B7" display="COMPS"/>
    <hyperlink ref="B26" location="Charts!B6" display="Charts"/>
    <hyperlink ref="B27" location="FAS!B6" display="FAS"/>
  </hyperlinks>
  <pageMargins left="0.75" right="0.75" top="1" bottom="1" header="0.511811023622047" footer="0.511811023622047"/>
  <pageSetup paperSize="9" orientation="portrait"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sheetPr>
  <dimension ref="B2:O57"/>
  <sheetViews>
    <sheetView showGridLines="0" workbookViewId="0">
      <selection activeCell="F18" sqref="F18"/>
    </sheetView>
  </sheetViews>
  <sheetFormatPr defaultColWidth="8.83333333333333" defaultRowHeight="13.8"/>
  <cols>
    <col min="1" max="1" width="7.33333333333333" style="3" customWidth="1"/>
    <col min="2" max="2" width="38" style="3" customWidth="1"/>
    <col min="3" max="3" width="16.8333333333333" style="486" customWidth="1"/>
    <col min="4" max="4" width="16.3333333333333" style="3" customWidth="1"/>
    <col min="5" max="5" width="15.1666666666667" style="3" customWidth="1"/>
    <col min="6" max="6" width="22.6203703703704" style="3" customWidth="1"/>
    <col min="7" max="7" width="15.8703703703704" style="3" customWidth="1"/>
    <col min="8" max="8" width="14.1666666666667" style="3" customWidth="1"/>
    <col min="9" max="9" width="15.3333333333333" style="3" customWidth="1"/>
    <col min="10" max="10" width="9.66666666666667" style="3" customWidth="1"/>
    <col min="11" max="16384" width="8.83333333333333" style="3"/>
  </cols>
  <sheetData>
    <row r="2" ht="13.5" customHeight="1" spans="2:7">
      <c r="B2" s="173" t="s">
        <v>21</v>
      </c>
      <c r="C2" s="173"/>
      <c r="D2" s="173"/>
    </row>
    <row r="3" ht="13.5" customHeight="1" spans="2:7">
      <c r="B3" s="173"/>
      <c r="C3" s="173"/>
      <c r="D3" s="173"/>
    </row>
    <row r="4" ht="13.5" customHeight="1" spans="2:7">
      <c r="B4" s="173"/>
      <c r="C4" s="173"/>
      <c r="D4" s="173"/>
    </row>
    <row r="6" ht="13.5" customHeight="1" spans="2:7">
      <c r="B6" s="487" t="s">
        <v>22</v>
      </c>
      <c r="C6" s="488" t="s">
        <v>21</v>
      </c>
      <c r="D6" s="488"/>
      <c r="E6" s="488"/>
      <c r="F6" s="488"/>
      <c r="G6" s="1"/>
    </row>
    <row r="7" ht="13.5" customHeight="1" spans="2:7">
      <c r="B7" s="487" t="s">
        <v>23</v>
      </c>
      <c r="C7" s="489" t="s">
        <v>24</v>
      </c>
      <c r="D7" s="489"/>
      <c r="E7" s="489"/>
      <c r="F7" s="489"/>
    </row>
    <row r="8" ht="13.5" customHeight="1" spans="2:7">
      <c r="B8" s="487" t="s">
        <v>25</v>
      </c>
      <c r="C8" s="489" t="s">
        <v>26</v>
      </c>
      <c r="D8" s="489"/>
      <c r="E8" s="489"/>
      <c r="F8" s="489"/>
    </row>
    <row r="9" ht="13.5" customHeight="1" spans="2:7">
      <c r="B9" s="487" t="s">
        <v>27</v>
      </c>
      <c r="C9" s="489" t="s">
        <v>28</v>
      </c>
      <c r="D9" s="489"/>
      <c r="E9" s="489"/>
      <c r="F9" s="489"/>
    </row>
    <row r="10" ht="15" customHeight="1" spans="2:7">
      <c r="B10" s="487" t="s">
        <v>29</v>
      </c>
      <c r="C10" s="489" t="s">
        <v>30</v>
      </c>
      <c r="D10" s="489"/>
      <c r="E10" s="489"/>
      <c r="F10" s="489"/>
    </row>
    <row r="11" ht="13.5" customHeight="1" spans="2:7">
      <c r="B11" s="487" t="s">
        <v>31</v>
      </c>
      <c r="C11" s="490" t="s">
        <v>32</v>
      </c>
      <c r="D11" s="490"/>
      <c r="E11" s="490"/>
      <c r="F11" s="490"/>
    </row>
    <row r="12" ht="91.5" customHeight="1" spans="2:7">
      <c r="B12" s="491" t="s">
        <v>22</v>
      </c>
      <c r="C12" s="492" t="s">
        <v>33</v>
      </c>
      <c r="D12" s="492"/>
      <c r="E12" s="492"/>
      <c r="F12" s="492"/>
    </row>
    <row r="13" ht="15" customHeight="1" spans="2:7">
      <c r="B13" s="487" t="s">
        <v>34</v>
      </c>
      <c r="C13" s="493">
        <v>1161.2</v>
      </c>
      <c r="D13" s="493"/>
      <c r="E13" s="493"/>
      <c r="F13" s="493"/>
    </row>
    <row r="16" s="2" customFormat="1" ht="13.5" customHeight="1" spans="2:7">
      <c r="B16" s="24" t="s">
        <v>35</v>
      </c>
      <c r="C16" s="24"/>
      <c r="D16" s="494" t="s">
        <v>36</v>
      </c>
    </row>
    <row r="17" ht="13.5" customHeight="1" spans="2:9">
      <c r="B17" s="495" t="s">
        <v>37</v>
      </c>
      <c r="C17" s="495"/>
      <c r="D17" s="496">
        <f>IF(B17="Best case",1,IF(B17="Base case",2,3))</f>
        <v>2</v>
      </c>
      <c r="E17" s="14"/>
    </row>
    <row r="19" ht="13.5" customHeight="1" spans="2:9">
      <c r="E19" s="22"/>
      <c r="F19" s="14"/>
      <c r="H19" s="22"/>
    </row>
    <row r="20" ht="13.5" customHeight="1" spans="2:9">
      <c r="B20" s="387" t="s">
        <v>38</v>
      </c>
      <c r="C20" s="387"/>
      <c r="D20" s="387"/>
      <c r="E20" s="22"/>
      <c r="F20" s="14"/>
      <c r="G20" s="14"/>
      <c r="H20" s="22"/>
      <c r="I20" s="14"/>
    </row>
    <row r="21" ht="13.5" customHeight="1" spans="2:9">
      <c r="B21" s="497" t="s">
        <v>39</v>
      </c>
      <c r="C21" s="398"/>
      <c r="D21" s="498" t="s">
        <v>40</v>
      </c>
      <c r="E21" s="22"/>
      <c r="F21" s="14"/>
      <c r="G21" s="14"/>
      <c r="H21" s="22"/>
      <c r="I21" s="14"/>
    </row>
    <row r="22" ht="13.5" customHeight="1" spans="2:9">
      <c r="B22" s="377" t="s">
        <v>41</v>
      </c>
      <c r="C22" s="486" t="s">
        <v>42</v>
      </c>
      <c r="D22" s="499">
        <v>4038289901</v>
      </c>
      <c r="F22" s="14"/>
      <c r="G22" s="14"/>
      <c r="H22" s="22"/>
      <c r="I22" s="14"/>
    </row>
    <row r="23" ht="13.5" customHeight="1" spans="2:9">
      <c r="B23" s="377" t="s">
        <v>43</v>
      </c>
      <c r="C23" s="486" t="s">
        <v>44</v>
      </c>
      <c r="D23" s="499">
        <v>5</v>
      </c>
      <c r="G23" s="14"/>
      <c r="H23" s="22"/>
      <c r="I23" s="14"/>
    </row>
    <row r="24" ht="13.5" customHeight="1" spans="2:9">
      <c r="B24" s="377" t="s">
        <v>34</v>
      </c>
      <c r="C24" s="486" t="s">
        <v>44</v>
      </c>
      <c r="D24" s="499">
        <f>C13</f>
        <v>1161.2</v>
      </c>
    </row>
    <row r="25" ht="13.5" customHeight="1" spans="2:9">
      <c r="B25" s="500" t="s">
        <v>45</v>
      </c>
      <c r="C25" s="501" t="s">
        <v>46</v>
      </c>
      <c r="D25" s="502">
        <f>D22*D24/10^7</f>
        <v>468926.22330412</v>
      </c>
    </row>
    <row r="26" ht="13.5" customHeight="1" spans="2:9">
      <c r="D26" s="14"/>
    </row>
    <row r="28" ht="13.5" customHeight="1" spans="2:9">
      <c r="B28" s="503" t="s">
        <v>1</v>
      </c>
      <c r="C28" s="503"/>
      <c r="D28" s="503"/>
    </row>
    <row r="29" ht="13.5" customHeight="1" spans="2:9">
      <c r="B29" s="504" t="s">
        <v>47</v>
      </c>
      <c r="C29" s="505" t="s">
        <v>48</v>
      </c>
      <c r="D29" s="506">
        <v>0.04</v>
      </c>
    </row>
    <row r="30" ht="13.5" customHeight="1" spans="2:9">
      <c r="B30" s="377" t="s">
        <v>49</v>
      </c>
      <c r="C30" s="486" t="s">
        <v>48</v>
      </c>
      <c r="D30" s="507">
        <v>0.07077</v>
      </c>
    </row>
    <row r="31" ht="13.5" customHeight="1" spans="2:9">
      <c r="B31" s="500" t="s">
        <v>50</v>
      </c>
      <c r="C31" s="501" t="s">
        <v>48</v>
      </c>
      <c r="D31" s="508">
        <f>'Cost Buildup'!G35*(1-'Cost Buildup'!G37)</f>
        <v>0.0334097559928208</v>
      </c>
    </row>
    <row r="32" ht="15" customHeight="1" spans="2:9">
      <c r="B32" s="509" t="s">
        <v>51</v>
      </c>
      <c r="C32" s="510" t="s">
        <v>48</v>
      </c>
      <c r="D32" s="511">
        <v>0.01</v>
      </c>
    </row>
    <row r="33" ht="13.5" customHeight="1" spans="2:15">
      <c r="I33" s="512" t="s">
        <v>52</v>
      </c>
    </row>
    <row r="34" ht="13.5" customHeight="1" spans="2:15">
      <c r="B34" s="513" t="s">
        <v>53</v>
      </c>
      <c r="C34" s="513"/>
      <c r="D34" s="513"/>
      <c r="E34" s="513"/>
      <c r="F34" s="513"/>
      <c r="G34" s="513"/>
      <c r="H34" s="513"/>
      <c r="I34" s="513"/>
      <c r="J34" s="513"/>
      <c r="K34" s="514"/>
      <c r="L34" s="514"/>
      <c r="M34" s="514"/>
      <c r="N34" s="514"/>
      <c r="O34" s="514"/>
    </row>
    <row r="35" ht="13.5" customHeight="1" spans="2:15">
      <c r="B35" s="515" t="s">
        <v>54</v>
      </c>
      <c r="C35" s="515" t="str">
        <f>'Revenue Buildup'!B38</f>
        <v>North America</v>
      </c>
      <c r="D35" s="515"/>
      <c r="E35" s="516" t="str">
        <f>'Revenue Buildup'!B44</f>
        <v>Europe</v>
      </c>
      <c r="F35" s="516"/>
      <c r="G35" s="517" t="str">
        <f>'Revenue Buildup'!B50</f>
        <v>India</v>
      </c>
      <c r="H35" s="517"/>
      <c r="I35" s="311" t="s">
        <v>55</v>
      </c>
      <c r="J35" s="311"/>
    </row>
    <row r="36" s="484" customFormat="1" ht="13.5" customHeight="1" spans="2:15">
      <c r="B36" s="518">
        <v>2022</v>
      </c>
      <c r="C36" s="519">
        <f>'Revenue Buildup'!C38</f>
        <v>75058</v>
      </c>
      <c r="D36" s="519"/>
      <c r="E36" s="520">
        <f>'Revenue Buildup'!C44</f>
        <v>30129</v>
      </c>
      <c r="F36" s="520"/>
      <c r="G36" s="521">
        <f>'Revenue Buildup'!C50</f>
        <v>3585</v>
      </c>
      <c r="H36" s="521"/>
      <c r="I36" s="522">
        <f>'Revenue Buildup'!C56</f>
        <v>12869</v>
      </c>
      <c r="J36" s="522"/>
    </row>
    <row r="37" s="485" customFormat="1" ht="13.5" customHeight="1" spans="2:15">
      <c r="B37" s="523">
        <f>B36+1</f>
        <v>2023</v>
      </c>
      <c r="C37" s="524">
        <f>'Revenue Buildup'!D38</f>
        <v>90724</v>
      </c>
      <c r="D37" s="524"/>
      <c r="E37" s="525">
        <f>'Revenue Buildup'!D44</f>
        <v>37675</v>
      </c>
      <c r="F37" s="525"/>
      <c r="G37" s="522">
        <f>'Revenue Buildup'!D50</f>
        <v>3861</v>
      </c>
      <c r="H37" s="522"/>
      <c r="I37" s="522">
        <f>'Revenue Buildup'!D56</f>
        <v>14507</v>
      </c>
      <c r="J37" s="522"/>
    </row>
    <row r="38" ht="13.5" customHeight="1" spans="2:15">
      <c r="B38" s="523">
        <f>B37+1</f>
        <v>2024</v>
      </c>
      <c r="C38" s="524">
        <f>'Revenue Buildup'!E38</f>
        <v>92411</v>
      </c>
      <c r="D38" s="524"/>
      <c r="E38" s="525">
        <f>'Revenue Buildup'!E44</f>
        <v>42267</v>
      </c>
      <c r="F38" s="525"/>
      <c r="G38" s="522">
        <f>'Revenue Buildup'!E50</f>
        <v>3881</v>
      </c>
      <c r="H38" s="522"/>
      <c r="I38" s="522">
        <f>'Revenue Buildup'!E56</f>
        <v>15111</v>
      </c>
      <c r="J38" s="522"/>
    </row>
    <row r="39" ht="13.5" customHeight="1" spans="2:15">
      <c r="B39" s="523">
        <f>B38+1</f>
        <v>2025</v>
      </c>
      <c r="C39" s="524">
        <f>'Revenue Buildup'!F38</f>
        <v>94397</v>
      </c>
      <c r="D39" s="524"/>
      <c r="E39" s="525">
        <f>'Revenue Buildup'!F44</f>
        <v>48595</v>
      </c>
      <c r="F39" s="525"/>
      <c r="G39" s="522">
        <f>'Revenue Buildup'!F50</f>
        <v>5014</v>
      </c>
      <c r="H39" s="522"/>
      <c r="I39" s="522">
        <f>'Revenue Buildup'!F56</f>
        <v>14984</v>
      </c>
      <c r="J39" s="522"/>
    </row>
    <row r="40" ht="13.5" customHeight="1" spans="2:15">
      <c r="B40" s="526">
        <f>B39+1</f>
        <v>2026</v>
      </c>
      <c r="C40" s="527">
        <f>'Revenue Buildup'!G38</f>
        <v>100167</v>
      </c>
      <c r="D40" s="527"/>
      <c r="E40" s="528">
        <f>'Revenue Buildup'!G44</f>
        <v>57454</v>
      </c>
      <c r="F40" s="528"/>
      <c r="G40" s="529">
        <f>'Revenue Buildup'!G50</f>
        <v>5102</v>
      </c>
      <c r="H40" s="529"/>
      <c r="I40" s="529">
        <f>'Revenue Buildup'!G56</f>
        <v>15927</v>
      </c>
      <c r="J40" s="529"/>
    </row>
    <row r="41" ht="13.5" customHeight="1" spans="2:15">
      <c r="B41" s="485"/>
      <c r="C41" s="530"/>
      <c r="D41" s="531"/>
      <c r="F41" s="14"/>
      <c r="H41" s="352"/>
    </row>
    <row r="42" ht="13.5" customHeight="1" spans="2:15">
      <c r="L42" s="280"/>
    </row>
    <row r="43" ht="13.5" customHeight="1" spans="2:15">
      <c r="L43" s="280"/>
    </row>
    <row r="44" ht="13.5" customHeight="1" spans="2:15">
      <c r="L44" s="280"/>
    </row>
    <row r="45" ht="13.5" customHeight="1" spans="2:15">
      <c r="L45" s="280"/>
    </row>
    <row r="46" ht="15" customHeight="1" spans="2:15">
      <c r="B46" s="532" t="s">
        <v>56</v>
      </c>
      <c r="C46" s="532" t="s">
        <v>57</v>
      </c>
      <c r="D46" s="533" t="s">
        <v>1</v>
      </c>
      <c r="E46" s="533"/>
      <c r="F46" s="533"/>
      <c r="G46" s="533"/>
      <c r="H46" s="533"/>
      <c r="I46" s="533"/>
      <c r="J46" s="533"/>
    </row>
    <row r="47" ht="63" customHeight="1" spans="2:15">
      <c r="B47" s="534" t="s">
        <v>58</v>
      </c>
      <c r="C47" s="535" t="s">
        <v>59</v>
      </c>
      <c r="D47" s="536" t="s">
        <v>60</v>
      </c>
      <c r="E47" s="536"/>
      <c r="F47" s="536"/>
      <c r="G47" s="536"/>
      <c r="H47" s="536"/>
      <c r="I47" s="536"/>
      <c r="J47" s="536"/>
    </row>
    <row r="48" ht="46.5" customHeight="1" spans="2:15">
      <c r="B48" s="534"/>
      <c r="C48" s="537" t="s">
        <v>61</v>
      </c>
      <c r="D48" s="538" t="s">
        <v>62</v>
      </c>
      <c r="E48" s="538"/>
      <c r="F48" s="538"/>
      <c r="G48" s="538"/>
      <c r="H48" s="538"/>
      <c r="I48" s="538"/>
      <c r="J48" s="538"/>
    </row>
    <row r="49" ht="40.5" customHeight="1" spans="2:10">
      <c r="B49" s="534" t="s">
        <v>63</v>
      </c>
      <c r="C49" s="537" t="s">
        <v>64</v>
      </c>
      <c r="D49" s="536" t="s">
        <v>65</v>
      </c>
      <c r="E49" s="536"/>
      <c r="F49" s="536"/>
      <c r="G49" s="536"/>
      <c r="H49" s="536"/>
      <c r="I49" s="536"/>
      <c r="J49" s="536"/>
    </row>
    <row r="50" ht="45" customHeight="1" spans="2:10">
      <c r="B50" s="534"/>
      <c r="C50" s="535" t="s">
        <v>66</v>
      </c>
      <c r="D50" s="536" t="s">
        <v>67</v>
      </c>
      <c r="E50" s="536"/>
      <c r="F50" s="536"/>
      <c r="G50" s="536"/>
      <c r="H50" s="536"/>
      <c r="I50" s="536"/>
      <c r="J50" s="536"/>
    </row>
    <row r="51" ht="48.75" customHeight="1" spans="2:10">
      <c r="B51" s="534"/>
      <c r="C51" s="539" t="s">
        <v>68</v>
      </c>
      <c r="D51" s="536" t="s">
        <v>69</v>
      </c>
      <c r="E51" s="536"/>
      <c r="F51" s="536"/>
      <c r="G51" s="536"/>
      <c r="H51" s="536"/>
      <c r="I51" s="536"/>
      <c r="J51" s="536"/>
    </row>
    <row r="52" ht="36.75" customHeight="1" spans="2:10">
      <c r="B52" s="534" t="s">
        <v>20</v>
      </c>
      <c r="C52" s="535" t="s">
        <v>70</v>
      </c>
      <c r="D52" s="536" t="s">
        <v>71</v>
      </c>
      <c r="E52" s="536"/>
      <c r="F52" s="536"/>
      <c r="G52" s="536"/>
      <c r="H52" s="536"/>
      <c r="I52" s="536"/>
      <c r="J52" s="536"/>
    </row>
    <row r="53" ht="28.5" customHeight="1" spans="2:10">
      <c r="B53" s="534"/>
      <c r="C53" s="535" t="s">
        <v>72</v>
      </c>
      <c r="D53" s="536" t="s">
        <v>73</v>
      </c>
      <c r="E53" s="536"/>
      <c r="F53" s="536"/>
      <c r="G53" s="536"/>
      <c r="H53" s="536"/>
      <c r="I53" s="536"/>
      <c r="J53" s="536"/>
    </row>
    <row r="54" ht="33" customHeight="1" spans="2:10">
      <c r="B54" s="540" t="s">
        <v>74</v>
      </c>
      <c r="C54" s="534" t="s">
        <v>75</v>
      </c>
      <c r="D54" s="536" t="s">
        <v>76</v>
      </c>
      <c r="E54" s="536"/>
      <c r="F54" s="536"/>
      <c r="G54" s="536"/>
      <c r="H54" s="536"/>
      <c r="I54" s="536"/>
      <c r="J54" s="536"/>
    </row>
    <row r="55" ht="45" customHeight="1" spans="2:10">
      <c r="B55" s="534" t="s">
        <v>11</v>
      </c>
      <c r="C55" s="535" t="s">
        <v>77</v>
      </c>
      <c r="D55" s="541" t="s">
        <v>78</v>
      </c>
      <c r="E55" s="541"/>
      <c r="F55" s="541"/>
      <c r="G55" s="541"/>
      <c r="H55" s="541"/>
      <c r="I55" s="541"/>
      <c r="J55" s="541"/>
    </row>
    <row r="56" ht="45" customHeight="1" spans="2:10">
      <c r="B56" s="542" t="s">
        <v>12</v>
      </c>
      <c r="C56" s="535" t="s">
        <v>79</v>
      </c>
      <c r="D56" s="536" t="s">
        <v>80</v>
      </c>
      <c r="E56" s="536"/>
      <c r="F56" s="536"/>
      <c r="G56" s="536"/>
      <c r="H56" s="536"/>
      <c r="I56" s="536"/>
      <c r="J56" s="536"/>
    </row>
    <row r="57" ht="54.75" customHeight="1" spans="2:10">
      <c r="B57" s="543" t="s">
        <v>13</v>
      </c>
      <c r="C57" s="534" t="s">
        <v>81</v>
      </c>
      <c r="D57" s="536" t="s">
        <v>82</v>
      </c>
      <c r="E57" s="536"/>
      <c r="F57" s="536"/>
      <c r="G57" s="536"/>
      <c r="H57" s="536"/>
      <c r="I57" s="536"/>
      <c r="J57" s="536"/>
    </row>
  </sheetData>
  <mergeCells count="53">
    <mergeCell ref="C6:F6"/>
    <mergeCell ref="C7:F7"/>
    <mergeCell ref="C8:F8"/>
    <mergeCell ref="C9:F9"/>
    <mergeCell ref="C10:F10"/>
    <mergeCell ref="C11:F11"/>
    <mergeCell ref="C12:F12"/>
    <mergeCell ref="C13:F13"/>
    <mergeCell ref="B16:C16"/>
    <mergeCell ref="B17:C17"/>
    <mergeCell ref="B20:D20"/>
    <mergeCell ref="B28:D28"/>
    <mergeCell ref="B34:H34"/>
    <mergeCell ref="C35:D35"/>
    <mergeCell ref="E35:F35"/>
    <mergeCell ref="G35:H35"/>
    <mergeCell ref="I35:J35"/>
    <mergeCell ref="C36:D36"/>
    <mergeCell ref="E36:F36"/>
    <mergeCell ref="G36:H36"/>
    <mergeCell ref="I36:J36"/>
    <mergeCell ref="C37:D37"/>
    <mergeCell ref="E37:F37"/>
    <mergeCell ref="G37:H37"/>
    <mergeCell ref="I37:J37"/>
    <mergeCell ref="C38:D38"/>
    <mergeCell ref="E38:F38"/>
    <mergeCell ref="G38:H38"/>
    <mergeCell ref="I38:J38"/>
    <mergeCell ref="C39:D39"/>
    <mergeCell ref="E39:F39"/>
    <mergeCell ref="G39:H39"/>
    <mergeCell ref="I39:J39"/>
    <mergeCell ref="C40:D40"/>
    <mergeCell ref="E40:F40"/>
    <mergeCell ref="G40:H40"/>
    <mergeCell ref="I40:J40"/>
    <mergeCell ref="D46:J46"/>
    <mergeCell ref="D47:J47"/>
    <mergeCell ref="D48:J48"/>
    <mergeCell ref="D49:J49"/>
    <mergeCell ref="D50:J50"/>
    <mergeCell ref="D51:J51"/>
    <mergeCell ref="D52:J52"/>
    <mergeCell ref="D53:J53"/>
    <mergeCell ref="D54:J54"/>
    <mergeCell ref="D55:J55"/>
    <mergeCell ref="D56:J56"/>
    <mergeCell ref="D57:J57"/>
    <mergeCell ref="B47:B48"/>
    <mergeCell ref="B49:B51"/>
    <mergeCell ref="B52:B53"/>
    <mergeCell ref="B2:D4"/>
  </mergeCells>
  <dataValidations count="1">
    <dataValidation type="list" allowBlank="1" showInputMessage="1" showErrorMessage="1" sqref="B17:C17">
      <formula1>"Best case,Base case,Worst case"</formula1>
    </dataValidation>
  </dataValidations>
  <hyperlinks>
    <hyperlink ref="C11" r:id="rId4" display="https://www.infosys.com"/>
    <hyperlink ref="D30" r:id="rId5" display="0.07077"/>
  </hyperlinks>
  <pageMargins left="0.7" right="0.7" top="0.75" bottom="0.75" header="0.511811023622047" footer="0.511811023622047"/>
  <pageSetup paperSize="1" orientation="portrait" horizontalDpi="300" verticalDpi="300"/>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sheetPr>
  <dimension ref="B1:R67"/>
  <sheetViews>
    <sheetView showGridLines="0" zoomScale="132" zoomScaleNormal="132" workbookViewId="0">
      <selection activeCell="C14" sqref="C14"/>
    </sheetView>
  </sheetViews>
  <sheetFormatPr defaultColWidth="8.83333333333333" defaultRowHeight="13.8"/>
  <cols>
    <col min="1" max="1" width="5.51851851851852" style="3" customWidth="1"/>
    <col min="2" max="2" width="36.6666666666667" style="388" customWidth="1"/>
    <col min="3" max="3" width="13.1666666666667" style="388" customWidth="1"/>
    <col min="4" max="6" width="13.1666666666667" style="14" customWidth="1"/>
    <col min="7" max="7" width="13.5" style="14" customWidth="1"/>
    <col min="8" max="9" width="8.83333333333333" style="3"/>
    <col min="10" max="10" width="11" style="3" customWidth="1"/>
    <col min="11" max="16384" width="8.83333333333333" style="3"/>
  </cols>
  <sheetData>
    <row r="1" s="3" customFormat="1" ht="13.5" customHeight="1" spans="2:18">
      <c r="B1" s="388"/>
      <c r="C1" s="388"/>
    </row>
    <row r="2" s="3" customFormat="1" ht="13.5" customHeight="1" spans="2:18">
      <c r="B2" s="173" t="s">
        <v>21</v>
      </c>
      <c r="C2" s="173"/>
      <c r="D2" s="173"/>
    </row>
    <row r="3" s="3" customFormat="1" ht="13.5" customHeight="1" spans="2:18">
      <c r="B3" s="173"/>
      <c r="C3" s="173"/>
      <c r="D3" s="173"/>
    </row>
    <row r="4" s="3" customFormat="1" ht="13.5" customHeight="1" spans="2:18">
      <c r="B4" s="173"/>
      <c r="C4" s="173"/>
      <c r="D4" s="173"/>
    </row>
    <row r="5" s="3" customFormat="1" ht="13.5" customHeight="1" spans="2:18">
      <c r="B5" s="388"/>
      <c r="C5" s="388"/>
    </row>
    <row r="6" s="3" customFormat="1" ht="14.25" customHeight="1" spans="2:18">
      <c r="B6" s="210"/>
      <c r="C6" s="210"/>
      <c r="F6" s="5" t="s">
        <v>83</v>
      </c>
      <c r="G6" s="5"/>
    </row>
    <row r="7" ht="16.5" customHeight="1" spans="2:18">
      <c r="B7" s="445" t="s">
        <v>2</v>
      </c>
      <c r="C7" s="445"/>
      <c r="D7" s="445"/>
      <c r="E7" s="445"/>
      <c r="F7" s="445"/>
      <c r="G7" s="445"/>
    </row>
    <row r="8" s="1" customFormat="1" ht="14.25" customHeight="1" spans="2:18">
      <c r="B8" s="446" t="s">
        <v>39</v>
      </c>
      <c r="C8" s="446">
        <v>2022</v>
      </c>
      <c r="D8" s="446">
        <f>C8+1</f>
        <v>2023</v>
      </c>
      <c r="E8" s="446">
        <f>D8+1</f>
        <v>2024</v>
      </c>
      <c r="F8" s="446">
        <f>E8+1</f>
        <v>2025</v>
      </c>
      <c r="G8" s="446">
        <f>F8+1</f>
        <v>2026</v>
      </c>
      <c r="I8" s="3"/>
      <c r="J8" s="3"/>
      <c r="K8" s="3"/>
      <c r="L8" s="3"/>
      <c r="M8" s="3"/>
      <c r="N8" s="3"/>
      <c r="O8" s="3"/>
      <c r="P8" s="3"/>
      <c r="Q8" s="3"/>
      <c r="R8" s="3"/>
    </row>
    <row r="9" ht="14.25" customHeight="1" spans="2:18">
      <c r="B9" s="447"/>
      <c r="C9" s="448" t="s">
        <v>84</v>
      </c>
      <c r="D9" s="448" t="s">
        <v>84</v>
      </c>
      <c r="E9" s="448" t="s">
        <v>84</v>
      </c>
      <c r="F9" s="448" t="s">
        <v>84</v>
      </c>
      <c r="G9" s="448" t="s">
        <v>84</v>
      </c>
    </row>
    <row r="10" ht="14.25" customHeight="1" spans="2:18">
      <c r="B10" s="449"/>
      <c r="C10" s="449"/>
      <c r="D10" s="450"/>
      <c r="E10" s="450"/>
      <c r="F10" s="450"/>
      <c r="G10" s="450"/>
    </row>
    <row r="11" ht="14.25" customHeight="1" spans="2:18">
      <c r="B11" s="199" t="s">
        <v>85</v>
      </c>
      <c r="C11" s="451">
        <v>121641</v>
      </c>
      <c r="D11" s="451">
        <v>146767</v>
      </c>
      <c r="E11" s="451">
        <v>153670</v>
      </c>
      <c r="F11" s="451">
        <v>162990</v>
      </c>
      <c r="G11" s="451">
        <v>178650</v>
      </c>
      <c r="H11" s="403"/>
    </row>
    <row r="12" ht="14.25" customHeight="1" spans="2:18">
      <c r="B12" s="199" t="s">
        <v>86</v>
      </c>
      <c r="C12" s="451">
        <v>2295</v>
      </c>
      <c r="D12" s="451">
        <v>2701</v>
      </c>
      <c r="E12" s="451">
        <v>4711</v>
      </c>
      <c r="F12" s="451">
        <v>3600</v>
      </c>
      <c r="G12" s="451">
        <v>4322</v>
      </c>
      <c r="H12" s="403"/>
    </row>
    <row r="13" ht="14.25" customHeight="1" spans="2:18">
      <c r="B13" s="199"/>
      <c r="C13" s="260"/>
      <c r="D13" s="260"/>
      <c r="E13" s="260"/>
      <c r="F13" s="260"/>
      <c r="G13" s="260"/>
      <c r="H13" s="403"/>
    </row>
    <row r="14" s="1" customFormat="1" ht="14.25" customHeight="1" spans="2:18">
      <c r="B14" s="452" t="s">
        <v>87</v>
      </c>
      <c r="C14" s="453">
        <f>SUM(C11:C12)</f>
        <v>123936</v>
      </c>
      <c r="D14" s="453">
        <f>SUM(D11:D12)</f>
        <v>149468</v>
      </c>
      <c r="E14" s="453">
        <f>SUM(E11:E12)</f>
        <v>158381</v>
      </c>
      <c r="F14" s="453">
        <f>SUM(F11:F12)</f>
        <v>166590</v>
      </c>
      <c r="G14" s="453">
        <f>SUM(G11:G12)</f>
        <v>182972</v>
      </c>
      <c r="I14" s="3"/>
      <c r="J14" s="3"/>
      <c r="K14" s="3"/>
      <c r="L14" s="3"/>
      <c r="M14" s="3"/>
      <c r="N14" s="3"/>
      <c r="O14" s="3"/>
      <c r="P14" s="3"/>
      <c r="Q14" s="3"/>
      <c r="R14" s="3"/>
    </row>
    <row r="15" ht="14.25" customHeight="1" spans="2:18">
      <c r="B15" s="199"/>
      <c r="C15" s="199"/>
      <c r="D15" s="260"/>
      <c r="E15" s="260"/>
      <c r="F15" s="260"/>
      <c r="G15" s="260"/>
    </row>
    <row r="16" s="1" customFormat="1" ht="14.25" customHeight="1" spans="2:18">
      <c r="B16" s="454" t="s">
        <v>88</v>
      </c>
      <c r="C16" s="454"/>
      <c r="D16" s="455"/>
      <c r="E16" s="455"/>
      <c r="F16" s="455"/>
      <c r="G16" s="455"/>
      <c r="I16" s="3"/>
      <c r="J16" s="3"/>
      <c r="K16" s="3"/>
      <c r="L16" s="3"/>
      <c r="M16" s="3"/>
      <c r="N16" s="3"/>
      <c r="O16" s="3"/>
      <c r="P16" s="3"/>
      <c r="Q16" s="3"/>
      <c r="R16" s="3"/>
    </row>
    <row r="17" ht="14.25" customHeight="1" spans="2:18">
      <c r="B17" s="199" t="s">
        <v>89</v>
      </c>
      <c r="C17" s="456">
        <v>63986</v>
      </c>
      <c r="D17" s="456">
        <v>78359</v>
      </c>
      <c r="E17" s="456">
        <v>82620</v>
      </c>
      <c r="F17" s="456">
        <v>85950</v>
      </c>
      <c r="G17" s="456">
        <v>95094</v>
      </c>
    </row>
    <row r="18" ht="14.25" customHeight="1" spans="2:18">
      <c r="B18" s="199" t="s">
        <v>90</v>
      </c>
      <c r="C18" s="456">
        <v>12606</v>
      </c>
      <c r="D18" s="456">
        <v>14062</v>
      </c>
      <c r="E18" s="456">
        <v>12232</v>
      </c>
      <c r="F18" s="456">
        <v>12937</v>
      </c>
      <c r="G18" s="456">
        <v>15421</v>
      </c>
    </row>
    <row r="19" ht="14.25" customHeight="1" spans="2:18">
      <c r="B19" s="199" t="s">
        <v>91</v>
      </c>
      <c r="C19" s="456">
        <v>827</v>
      </c>
      <c r="D19" s="456">
        <v>1525</v>
      </c>
      <c r="E19" s="456">
        <v>1759</v>
      </c>
      <c r="F19" s="456">
        <v>1894</v>
      </c>
      <c r="G19" s="456">
        <v>2097</v>
      </c>
    </row>
    <row r="20" s="1" customFormat="1" ht="14.25" customHeight="1" spans="2:18">
      <c r="B20" s="199" t="s">
        <v>92</v>
      </c>
      <c r="C20" s="456">
        <v>6811</v>
      </c>
      <c r="D20" s="456">
        <v>10902</v>
      </c>
      <c r="E20" s="456">
        <v>13515</v>
      </c>
      <c r="F20" s="456">
        <v>15911</v>
      </c>
      <c r="G20" s="456">
        <v>15722</v>
      </c>
      <c r="I20" s="3"/>
      <c r="J20" s="3"/>
      <c r="K20" s="3"/>
      <c r="L20" s="3"/>
      <c r="M20" s="3"/>
      <c r="N20" s="3"/>
      <c r="O20" s="3"/>
      <c r="P20" s="3"/>
      <c r="Q20" s="3"/>
      <c r="R20" s="3"/>
    </row>
    <row r="21" ht="14.25" customHeight="1" spans="2:18">
      <c r="B21" s="199" t="s">
        <v>93</v>
      </c>
      <c r="C21" s="456">
        <v>611</v>
      </c>
      <c r="D21" s="456">
        <v>713</v>
      </c>
      <c r="E21" s="456">
        <v>677</v>
      </c>
      <c r="F21" s="456">
        <v>620</v>
      </c>
      <c r="G21" s="456">
        <v>603</v>
      </c>
    </row>
    <row r="22" s="1" customFormat="1" ht="14.25" customHeight="1" spans="2:18">
      <c r="B22" s="199" t="s">
        <v>94</v>
      </c>
      <c r="C22" s="456">
        <v>1885</v>
      </c>
      <c r="D22" s="456">
        <v>1684</v>
      </c>
      <c r="E22" s="456">
        <v>1726</v>
      </c>
      <c r="F22" s="456">
        <v>1655</v>
      </c>
      <c r="G22" s="456">
        <v>2090</v>
      </c>
    </row>
    <row r="23" ht="14.25" customHeight="1" spans="2:18">
      <c r="B23" s="199" t="s">
        <v>95</v>
      </c>
      <c r="C23" s="456">
        <v>3424</v>
      </c>
      <c r="D23" s="456">
        <v>4392</v>
      </c>
      <c r="E23" s="456">
        <v>4716</v>
      </c>
      <c r="F23" s="456">
        <v>4787</v>
      </c>
      <c r="G23" s="456">
        <v>5343</v>
      </c>
    </row>
    <row r="24" ht="14.25" customHeight="1" spans="2:18">
      <c r="B24" s="452" t="s">
        <v>96</v>
      </c>
      <c r="C24" s="457">
        <f>SUM(C17:C23)</f>
        <v>90150</v>
      </c>
      <c r="D24" s="457">
        <f>SUM(D17:D23)</f>
        <v>111637</v>
      </c>
      <c r="E24" s="457">
        <f>SUM(E17:E23)</f>
        <v>117245</v>
      </c>
      <c r="F24" s="457">
        <f>SUM(F17:F23)</f>
        <v>123754</v>
      </c>
      <c r="G24" s="457">
        <f>SUM(G17:G23)</f>
        <v>136370</v>
      </c>
      <c r="I24" s="419"/>
      <c r="K24" s="419"/>
      <c r="L24" s="419"/>
      <c r="M24" s="419"/>
      <c r="N24" s="67"/>
      <c r="O24" s="67"/>
      <c r="P24" s="67"/>
      <c r="Q24" s="67"/>
      <c r="R24" s="67"/>
    </row>
    <row r="25" ht="14.25" customHeight="1" spans="2:18">
      <c r="B25" s="199"/>
      <c r="C25" s="260"/>
      <c r="D25" s="260"/>
      <c r="E25" s="260"/>
      <c r="F25" s="260"/>
      <c r="G25" s="260"/>
      <c r="J25" s="420"/>
      <c r="K25" s="420"/>
      <c r="L25" s="420"/>
      <c r="M25" s="420"/>
      <c r="N25" s="403"/>
      <c r="O25" s="403"/>
      <c r="P25" s="403"/>
      <c r="Q25" s="403"/>
      <c r="R25" s="403"/>
    </row>
    <row r="26" s="1" customFormat="1" ht="14.25" customHeight="1" spans="2:18">
      <c r="B26" s="454" t="s">
        <v>97</v>
      </c>
      <c r="C26" s="455">
        <f>C14-C24</f>
        <v>33786</v>
      </c>
      <c r="D26" s="455">
        <f>D14-D24</f>
        <v>37831</v>
      </c>
      <c r="E26" s="455">
        <f>E14-E24</f>
        <v>41136</v>
      </c>
      <c r="F26" s="455">
        <f>F14-F24</f>
        <v>42836</v>
      </c>
      <c r="G26" s="455">
        <f>G14-G24</f>
        <v>46602</v>
      </c>
      <c r="I26" s="155"/>
      <c r="J26" s="458"/>
      <c r="K26" s="458"/>
      <c r="L26" s="458"/>
      <c r="M26" s="458"/>
      <c r="N26" s="403"/>
      <c r="O26" s="403"/>
      <c r="P26" s="403"/>
      <c r="Q26" s="403"/>
      <c r="R26" s="403"/>
    </row>
    <row r="27" s="1" customFormat="1" ht="14.25" customHeight="1" spans="2:18">
      <c r="B27" s="199"/>
      <c r="C27" s="260"/>
      <c r="D27" s="260"/>
      <c r="E27" s="260"/>
      <c r="F27" s="260"/>
      <c r="G27" s="260"/>
      <c r="I27" s="419"/>
      <c r="K27" s="419"/>
      <c r="L27" s="419"/>
      <c r="M27" s="419"/>
      <c r="N27" s="409"/>
      <c r="O27" s="409"/>
      <c r="P27" s="409"/>
      <c r="Q27" s="409"/>
      <c r="R27" s="409"/>
    </row>
    <row r="28" ht="14.25" customHeight="1" spans="2:18">
      <c r="B28" s="199" t="s">
        <v>98</v>
      </c>
      <c r="C28" s="459">
        <v>3476</v>
      </c>
      <c r="D28" s="459">
        <v>4225</v>
      </c>
      <c r="E28" s="459">
        <v>4678</v>
      </c>
      <c r="F28" s="459">
        <v>4812</v>
      </c>
      <c r="G28" s="459">
        <v>4902</v>
      </c>
      <c r="I28" s="419"/>
      <c r="K28" s="419"/>
      <c r="L28" s="419"/>
      <c r="M28" s="419"/>
      <c r="N28" s="460"/>
      <c r="O28" s="460"/>
      <c r="P28" s="460"/>
      <c r="Q28" s="460"/>
      <c r="R28" s="460"/>
    </row>
    <row r="29" ht="14.25" customHeight="1" spans="2:18">
      <c r="B29" s="199"/>
      <c r="C29" s="260"/>
      <c r="D29" s="260"/>
      <c r="E29" s="260"/>
      <c r="F29" s="260"/>
      <c r="G29" s="260"/>
      <c r="J29" s="420"/>
      <c r="K29" s="420"/>
      <c r="L29" s="420"/>
      <c r="M29" s="420"/>
      <c r="N29" s="403"/>
      <c r="O29" s="403"/>
      <c r="P29" s="403"/>
      <c r="Q29" s="403"/>
      <c r="R29" s="403"/>
    </row>
    <row r="30" ht="14.25" customHeight="1" spans="2:18">
      <c r="B30" s="454" t="s">
        <v>99</v>
      </c>
      <c r="C30" s="455">
        <f>C26-C28</f>
        <v>30310</v>
      </c>
      <c r="D30" s="455">
        <f>D26-D28</f>
        <v>33606</v>
      </c>
      <c r="E30" s="455">
        <f>E26-E28</f>
        <v>36458</v>
      </c>
      <c r="F30" s="455">
        <f>F26-F28</f>
        <v>38024</v>
      </c>
      <c r="G30" s="455">
        <f>G26-G28</f>
        <v>41700</v>
      </c>
      <c r="J30" s="420"/>
      <c r="K30" s="420"/>
      <c r="L30" s="420"/>
      <c r="M30" s="420"/>
      <c r="N30" s="403"/>
      <c r="O30" s="403"/>
      <c r="P30" s="403"/>
      <c r="Q30" s="403"/>
      <c r="R30" s="403"/>
    </row>
    <row r="31" ht="14.25" customHeight="1" spans="2:18">
      <c r="B31" s="454"/>
      <c r="C31" s="455"/>
      <c r="D31" s="455"/>
      <c r="E31" s="455"/>
      <c r="F31" s="455"/>
      <c r="G31" s="455"/>
      <c r="J31" s="420"/>
      <c r="K31" s="420"/>
      <c r="L31" s="420"/>
      <c r="M31" s="420"/>
      <c r="N31" s="403"/>
      <c r="O31" s="403"/>
      <c r="P31" s="403"/>
      <c r="Q31" s="403"/>
      <c r="R31" s="403"/>
    </row>
    <row r="32" s="444" customFormat="1" ht="14.25" customHeight="1" spans="2:18">
      <c r="B32" s="199" t="s">
        <v>100</v>
      </c>
      <c r="C32" s="459">
        <v>200</v>
      </c>
      <c r="D32" s="459">
        <v>284</v>
      </c>
      <c r="E32" s="459">
        <v>470</v>
      </c>
      <c r="F32" s="459">
        <v>416</v>
      </c>
      <c r="G32" s="459">
        <v>416</v>
      </c>
      <c r="J32" s="420"/>
      <c r="K32" s="420"/>
      <c r="L32" s="420"/>
      <c r="M32" s="420"/>
      <c r="N32" s="403"/>
      <c r="O32" s="403"/>
      <c r="P32" s="403"/>
      <c r="Q32" s="403"/>
      <c r="R32" s="403"/>
    </row>
    <row r="33" ht="14.25" customHeight="1" spans="2:18">
      <c r="B33" s="199"/>
      <c r="C33" s="459"/>
      <c r="D33" s="459"/>
      <c r="E33" s="459"/>
      <c r="F33" s="459"/>
      <c r="G33" s="459"/>
      <c r="I33" s="419"/>
      <c r="K33" s="461"/>
      <c r="L33" s="461"/>
      <c r="M33" s="461"/>
      <c r="N33" s="462"/>
      <c r="O33" s="462"/>
      <c r="P33" s="409"/>
      <c r="Q33" s="409"/>
      <c r="R33" s="409"/>
    </row>
    <row r="34" ht="14.25" customHeight="1" spans="2:18">
      <c r="B34" s="463" t="s">
        <v>101</v>
      </c>
      <c r="C34" s="464">
        <f>C30-C32</f>
        <v>30110</v>
      </c>
      <c r="D34" s="464">
        <f>D30-D32</f>
        <v>33322</v>
      </c>
      <c r="E34" s="464">
        <f>E30-E32</f>
        <v>35988</v>
      </c>
      <c r="F34" s="464">
        <f>F30-F32</f>
        <v>37608</v>
      </c>
      <c r="G34" s="464">
        <f>G30-G32</f>
        <v>41284</v>
      </c>
      <c r="J34" s="420"/>
      <c r="K34" s="465"/>
      <c r="L34" s="465"/>
      <c r="M34" s="465"/>
      <c r="N34" s="103"/>
      <c r="O34" s="103"/>
      <c r="P34" s="466"/>
      <c r="Q34" s="466"/>
      <c r="R34" s="466"/>
    </row>
    <row r="35" s="1" customFormat="1" ht="14.25" customHeight="1" spans="2:18">
      <c r="B35" s="199"/>
      <c r="C35" s="467"/>
      <c r="D35" s="467"/>
      <c r="E35" s="467"/>
      <c r="F35" s="467"/>
      <c r="G35" s="467"/>
      <c r="I35" s="155"/>
      <c r="J35" s="458"/>
      <c r="K35" s="468"/>
      <c r="L35" s="468"/>
      <c r="M35" s="468"/>
      <c r="N35" s="410"/>
      <c r="O35" s="410"/>
      <c r="P35" s="410"/>
      <c r="Q35" s="410"/>
      <c r="R35" s="410"/>
    </row>
    <row r="36" ht="28.5" customHeight="1" spans="2:18">
      <c r="B36" s="199" t="s">
        <v>102</v>
      </c>
      <c r="C36" s="469">
        <v>0</v>
      </c>
      <c r="D36" s="469">
        <v>0</v>
      </c>
      <c r="E36" s="469">
        <v>0</v>
      </c>
      <c r="F36" s="469">
        <v>0</v>
      </c>
      <c r="G36" s="469">
        <v>1289</v>
      </c>
      <c r="J36" s="420"/>
      <c r="K36" s="419"/>
      <c r="L36" s="419"/>
      <c r="M36" s="419"/>
      <c r="N36" s="403"/>
      <c r="O36" s="403"/>
      <c r="P36" s="403"/>
      <c r="Q36" s="403"/>
      <c r="R36" s="403"/>
    </row>
    <row r="37" ht="14.25" customHeight="1" spans="2:18">
      <c r="B37" s="199"/>
      <c r="C37" s="459"/>
      <c r="D37" s="459"/>
      <c r="E37" s="469"/>
      <c r="F37" s="469"/>
      <c r="G37" s="459"/>
      <c r="I37" s="419"/>
      <c r="K37" s="419"/>
      <c r="L37" s="419"/>
      <c r="M37" s="419"/>
      <c r="N37" s="409"/>
      <c r="O37" s="409"/>
      <c r="P37" s="409"/>
      <c r="Q37" s="409"/>
      <c r="R37" s="409"/>
    </row>
    <row r="38" ht="14.25" customHeight="1" spans="2:18">
      <c r="B38" s="454" t="s">
        <v>103</v>
      </c>
      <c r="C38" s="455">
        <f>C34-C36</f>
        <v>30110</v>
      </c>
      <c r="D38" s="455">
        <f>D34-D36</f>
        <v>33322</v>
      </c>
      <c r="E38" s="455">
        <f>E34-E36</f>
        <v>35988</v>
      </c>
      <c r="F38" s="455">
        <f>F34-F36</f>
        <v>37608</v>
      </c>
      <c r="G38" s="455">
        <f>G34-G36</f>
        <v>39995</v>
      </c>
      <c r="J38" s="419"/>
      <c r="K38" s="419"/>
      <c r="L38" s="419"/>
      <c r="M38" s="419"/>
      <c r="N38" s="460"/>
      <c r="O38" s="460"/>
      <c r="P38" s="460"/>
      <c r="Q38" s="460"/>
      <c r="R38" s="460"/>
    </row>
    <row r="39" s="1" customFormat="1" ht="14.25" customHeight="1" spans="2:18">
      <c r="B39" s="199"/>
      <c r="C39" s="459"/>
      <c r="D39" s="459"/>
      <c r="E39" s="459"/>
      <c r="F39" s="459"/>
      <c r="G39" s="459"/>
      <c r="J39" s="420"/>
      <c r="K39" s="420"/>
      <c r="L39" s="420"/>
      <c r="M39" s="420"/>
      <c r="N39" s="403"/>
      <c r="O39" s="403"/>
      <c r="P39" s="403"/>
      <c r="Q39" s="403"/>
      <c r="R39" s="403"/>
    </row>
    <row r="40" ht="14.25" customHeight="1" spans="2:18">
      <c r="B40" s="199" t="s">
        <v>104</v>
      </c>
      <c r="C40" s="469">
        <v>7964</v>
      </c>
      <c r="D40" s="469">
        <v>9214</v>
      </c>
      <c r="E40" s="469">
        <v>9740</v>
      </c>
      <c r="F40" s="469">
        <v>10858</v>
      </c>
      <c r="G40" s="469">
        <v>10521</v>
      </c>
      <c r="J40" s="420"/>
      <c r="K40" s="420"/>
      <c r="L40" s="420"/>
      <c r="M40" s="420"/>
      <c r="N40" s="403"/>
      <c r="O40" s="403"/>
      <c r="P40" s="403"/>
      <c r="Q40" s="403"/>
      <c r="R40" s="403"/>
    </row>
    <row r="41" ht="14.25" customHeight="1" spans="2:18">
      <c r="B41" s="199"/>
      <c r="C41" s="260"/>
      <c r="D41" s="260"/>
      <c r="E41" s="260"/>
      <c r="F41" s="260"/>
      <c r="G41" s="260"/>
      <c r="I41" s="419"/>
      <c r="K41" s="419"/>
      <c r="L41" s="419"/>
      <c r="M41" s="419"/>
      <c r="N41" s="409"/>
      <c r="O41" s="409"/>
      <c r="P41" s="409"/>
      <c r="Q41" s="409"/>
      <c r="R41" s="409"/>
    </row>
    <row r="42" ht="14.25" customHeight="1" spans="2:18">
      <c r="B42" s="452" t="s">
        <v>105</v>
      </c>
      <c r="C42" s="457">
        <f>C38-C40</f>
        <v>22146</v>
      </c>
      <c r="D42" s="457">
        <f>D38-D40</f>
        <v>24108</v>
      </c>
      <c r="E42" s="457">
        <f>E38-E40</f>
        <v>26248</v>
      </c>
      <c r="F42" s="457">
        <f>F38-F40</f>
        <v>26750</v>
      </c>
      <c r="G42" s="457">
        <f>G38-G40</f>
        <v>29474</v>
      </c>
      <c r="I42" s="419"/>
      <c r="K42" s="419"/>
      <c r="L42" s="419"/>
      <c r="M42" s="419"/>
      <c r="N42" s="409"/>
      <c r="O42" s="409"/>
      <c r="P42" s="409"/>
      <c r="Q42" s="409"/>
      <c r="R42" s="409"/>
    </row>
    <row r="43" ht="14.25" customHeight="1" spans="2:18">
      <c r="B43" s="199"/>
      <c r="C43" s="199"/>
      <c r="D43" s="467"/>
      <c r="E43" s="467"/>
      <c r="F43" s="467"/>
      <c r="G43" s="467"/>
    </row>
    <row r="44" ht="14.25" customHeight="1" spans="2:18">
      <c r="B44" s="199"/>
      <c r="C44" s="199"/>
      <c r="D44" s="260"/>
      <c r="E44" s="260"/>
      <c r="F44" s="260"/>
      <c r="G44" s="260"/>
    </row>
    <row r="45" ht="14.25" customHeight="1" spans="2:18">
      <c r="B45" s="470" t="s">
        <v>106</v>
      </c>
      <c r="C45" s="470"/>
      <c r="D45" s="455"/>
      <c r="E45" s="455"/>
      <c r="F45" s="455"/>
      <c r="G45" s="455"/>
    </row>
    <row r="46" ht="14.25" customHeight="1" spans="2:18">
      <c r="B46" s="471" t="s">
        <v>107</v>
      </c>
      <c r="C46" s="472" t="s">
        <v>108</v>
      </c>
      <c r="D46" s="275">
        <f>D11/C11-1</f>
        <v>0.206558643878298</v>
      </c>
      <c r="E46" s="275">
        <f>E11/D11-1</f>
        <v>0.0470337337412361</v>
      </c>
      <c r="F46" s="275">
        <f>F11/E11-1</f>
        <v>0.0606494436129368</v>
      </c>
      <c r="G46" s="275">
        <f>G11/F11-1</f>
        <v>0.0960795140806185</v>
      </c>
      <c r="I46" s="444"/>
      <c r="J46" s="444"/>
      <c r="K46" s="444"/>
      <c r="L46" s="444"/>
      <c r="M46" s="444"/>
      <c r="N46" s="444"/>
      <c r="O46" s="444"/>
      <c r="P46" s="444"/>
      <c r="Q46" s="444"/>
      <c r="R46" s="444"/>
    </row>
    <row r="47" ht="14.25" customHeight="1" spans="2:18">
      <c r="B47" s="471" t="s">
        <v>109</v>
      </c>
      <c r="C47" s="275">
        <f>C26/C14</f>
        <v>0.27260844306739</v>
      </c>
      <c r="D47" s="275">
        <f>D26/D14</f>
        <v>0.253104343404608</v>
      </c>
      <c r="E47" s="275">
        <f>E26/E14</f>
        <v>0.259728123954262</v>
      </c>
      <c r="F47" s="275">
        <f>F26/F14</f>
        <v>0.257134281769614</v>
      </c>
      <c r="G47" s="275">
        <f>G26/G14</f>
        <v>0.254694707386923</v>
      </c>
    </row>
    <row r="48" ht="14.25" customHeight="1" spans="2:18">
      <c r="B48" s="471" t="s">
        <v>110</v>
      </c>
      <c r="C48" s="275">
        <f>C30/C14</f>
        <v>0.2445617092693</v>
      </c>
      <c r="D48" s="275">
        <f>D30/D14</f>
        <v>0.224837423394974</v>
      </c>
      <c r="E48" s="275">
        <f>E30/E14</f>
        <v>0.230191752798631</v>
      </c>
      <c r="F48" s="275">
        <f>F30/F14</f>
        <v>0.228248994537487</v>
      </c>
      <c r="G48" s="275">
        <f>G30/G14</f>
        <v>0.227903722974007</v>
      </c>
    </row>
    <row r="49" ht="14.25" customHeight="1" spans="2:18">
      <c r="B49" s="471" t="s">
        <v>111</v>
      </c>
      <c r="C49" s="275">
        <f>C42/C14</f>
        <v>0.178689000774593</v>
      </c>
      <c r="D49" s="275">
        <f>D42/D14</f>
        <v>0.161292049134263</v>
      </c>
      <c r="E49" s="275">
        <f>E42/E14</f>
        <v>0.165726949570971</v>
      </c>
      <c r="F49" s="275">
        <f>F42/F14</f>
        <v>0.16057386397743</v>
      </c>
      <c r="G49" s="275">
        <f>G42/G14</f>
        <v>0.161084756137551</v>
      </c>
    </row>
    <row r="50" ht="14.25" customHeight="1" spans="2:18">
      <c r="B50" s="471" t="s">
        <v>112</v>
      </c>
      <c r="C50" s="275">
        <v>0.187861051024303</v>
      </c>
      <c r="D50" s="275">
        <v>0.191613149360972</v>
      </c>
      <c r="E50" s="275">
        <v>0.190459604974821</v>
      </c>
      <c r="F50" s="275">
        <v>0.179647152844469</v>
      </c>
      <c r="G50" s="275">
        <v>0.188975873101361</v>
      </c>
    </row>
    <row r="51" ht="14.25" customHeight="1" spans="2:18">
      <c r="B51" s="471" t="s">
        <v>113</v>
      </c>
      <c r="C51" s="473">
        <v>1.03186155999491</v>
      </c>
      <c r="D51" s="473">
        <v>1.16652095123037</v>
      </c>
      <c r="E51" s="473">
        <v>1.11505362299911</v>
      </c>
      <c r="F51" s="473">
        <v>1.09460521278953</v>
      </c>
      <c r="G51" s="473">
        <v>1.14543461116775</v>
      </c>
    </row>
    <row r="52" ht="14.25" customHeight="1" spans="2:18">
      <c r="B52" s="471" t="s">
        <v>114</v>
      </c>
      <c r="C52" s="474">
        <v>1.55652529840499</v>
      </c>
      <c r="D52" s="474">
        <v>1.65995118411505</v>
      </c>
      <c r="E52" s="474">
        <v>1.55790687421576</v>
      </c>
      <c r="F52" s="474">
        <v>1.54779996465807</v>
      </c>
      <c r="G52" s="474">
        <v>1.67172577896395</v>
      </c>
      <c r="I52" s="1"/>
      <c r="J52" s="1"/>
      <c r="K52" s="1"/>
      <c r="L52" s="1"/>
      <c r="M52" s="1"/>
      <c r="N52" s="1"/>
      <c r="O52" s="1"/>
      <c r="P52" s="1"/>
      <c r="Q52" s="1"/>
      <c r="R52" s="1"/>
    </row>
    <row r="53" ht="14.25" customHeight="1" spans="2:18">
      <c r="B53" s="471" t="s">
        <v>115</v>
      </c>
      <c r="C53" s="275">
        <f>C49*C51*C52</f>
        <v>0.28699573179495</v>
      </c>
      <c r="D53" s="275">
        <f>D49*D51*D52</f>
        <v>0.312320735870287</v>
      </c>
      <c r="E53" s="275">
        <f>E49*E51*E52</f>
        <v>0.287892521456587</v>
      </c>
      <c r="F53" s="275">
        <f>F49*F51*F52</f>
        <v>0.272049043061871</v>
      </c>
      <c r="G53" s="275">
        <f>G49*G51*G52</f>
        <v>0.308453558892285</v>
      </c>
    </row>
    <row r="54" ht="13.5" customHeight="1" spans="2:18">
      <c r="B54" s="475"/>
      <c r="C54" s="475"/>
      <c r="D54" s="476"/>
      <c r="E54" s="476"/>
      <c r="F54" s="476"/>
      <c r="G54" s="476"/>
    </row>
    <row r="55" ht="15" customHeight="1" spans="2:18">
      <c r="B55" s="475"/>
      <c r="C55" s="477"/>
      <c r="D55" s="478"/>
      <c r="E55" s="478"/>
      <c r="F55" s="478"/>
      <c r="G55" s="478"/>
      <c r="H55" s="479"/>
    </row>
    <row r="56" ht="15" customHeight="1" spans="2:18">
      <c r="C56" s="480"/>
      <c r="D56" s="481"/>
      <c r="E56" s="481"/>
      <c r="F56" s="481"/>
      <c r="G56" s="481"/>
      <c r="H56" s="481"/>
      <c r="I56" s="1"/>
      <c r="J56" s="1"/>
      <c r="K56" s="1"/>
      <c r="L56" s="1"/>
      <c r="M56" s="1"/>
      <c r="N56" s="1"/>
      <c r="O56" s="1"/>
      <c r="P56" s="1"/>
      <c r="Q56" s="1"/>
      <c r="R56" s="1"/>
    </row>
    <row r="57" ht="15" customHeight="1" spans="2:18">
      <c r="C57" s="480"/>
      <c r="D57" s="482"/>
      <c r="E57" s="482"/>
      <c r="F57" s="483"/>
      <c r="G57" s="483"/>
      <c r="H57" s="483"/>
      <c r="L57" s="23"/>
    </row>
    <row r="61" ht="13.5" customHeight="1" spans="2:18">
      <c r="H61" s="15"/>
    </row>
    <row r="62" ht="13.5" customHeight="1" spans="2:18">
      <c r="H62" s="14"/>
      <c r="I62" s="14"/>
      <c r="J62" s="14"/>
    </row>
    <row r="67" ht="13.5" customHeight="1" spans="8:10">
      <c r="H67" s="14"/>
      <c r="I67" s="14"/>
      <c r="J67" s="14"/>
    </row>
  </sheetData>
  <mergeCells count="3">
    <mergeCell ref="F6:G6"/>
    <mergeCell ref="B7:G7"/>
    <mergeCell ref="B2:D4"/>
  </mergeCells>
  <pageMargins left="0.7" right="0.7" top="0.75" bottom="0.75" header="0.511811023622047" footer="0.511811023622047"/>
  <pageSetup paperSize="1"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sheetPr>
  <dimension ref="B2:S97"/>
  <sheetViews>
    <sheetView showGridLines="0" zoomScale="85" zoomScaleNormal="85" workbookViewId="0">
      <pane xSplit="3" ySplit="7" topLeftCell="D45" activePane="bottomRight" state="frozen"/>
      <selection/>
      <selection pane="topRight"/>
      <selection pane="bottomLeft"/>
      <selection pane="bottomRight" activeCell="B7" sqref="B7:C8"/>
    </sheetView>
  </sheetViews>
  <sheetFormatPr defaultColWidth="8.83333333333333" defaultRowHeight="13.8"/>
  <cols>
    <col min="1" max="2" width="3.83333333333333" style="3" customWidth="1"/>
    <col min="3" max="3" width="35.4259259259259" style="3" customWidth="1"/>
    <col min="4" max="7" width="13.1666666666667" style="3" customWidth="1"/>
    <col min="8" max="8" width="13.5" style="3" customWidth="1"/>
    <col min="9" max="9" width="9.16666666666667" style="3" customWidth="1"/>
    <col min="10" max="10" width="9.83333333333333" style="3" customWidth="1"/>
    <col min="11" max="11" width="8.83333333333333" style="3"/>
    <col min="12" max="14" width="9.83333333333333" style="3" customWidth="1"/>
    <col min="15" max="16384" width="8.83333333333333" style="3"/>
  </cols>
  <sheetData>
    <row r="2" ht="13.5" customHeight="1" spans="2:19">
      <c r="B2" s="173" t="s">
        <v>21</v>
      </c>
      <c r="C2" s="173"/>
      <c r="D2" s="173"/>
    </row>
    <row r="3" ht="13.5" customHeight="1" spans="2:19">
      <c r="B3" s="173"/>
      <c r="C3" s="173"/>
      <c r="D3" s="173"/>
    </row>
    <row r="4" ht="13.5" customHeight="1" spans="2:19">
      <c r="B4" s="173"/>
      <c r="C4" s="173"/>
      <c r="D4" s="173"/>
    </row>
    <row r="6" ht="14.25" customHeight="1" spans="2:19">
      <c r="B6" s="399" t="s">
        <v>116</v>
      </c>
      <c r="C6" s="399"/>
      <c r="D6" s="399"/>
      <c r="E6" s="399"/>
      <c r="F6" s="399"/>
      <c r="G6" s="399"/>
      <c r="H6" s="399"/>
    </row>
    <row r="7" ht="14.25" customHeight="1" spans="2:19">
      <c r="B7" s="175" t="s">
        <v>39</v>
      </c>
      <c r="C7" s="175"/>
      <c r="D7" s="9">
        <v>2022</v>
      </c>
      <c r="E7" s="9">
        <f>D7+1</f>
        <v>2023</v>
      </c>
      <c r="F7" s="9">
        <f>E7+1</f>
        <v>2024</v>
      </c>
      <c r="G7" s="9">
        <f>F7+1</f>
        <v>2025</v>
      </c>
      <c r="H7" s="9">
        <f>G7+1</f>
        <v>2026</v>
      </c>
    </row>
    <row r="8" ht="13.5" customHeight="1" spans="2:19">
      <c r="B8" s="175"/>
      <c r="C8" s="175"/>
      <c r="D8" s="11" t="s">
        <v>84</v>
      </c>
      <c r="E8" s="11" t="s">
        <v>84</v>
      </c>
      <c r="F8" s="11" t="s">
        <v>84</v>
      </c>
      <c r="G8" s="11" t="s">
        <v>84</v>
      </c>
      <c r="H8" s="11" t="s">
        <v>84</v>
      </c>
    </row>
    <row r="9" s="1" customFormat="1" ht="13.5" customHeight="1" spans="2:19">
      <c r="B9" s="29" t="s">
        <v>117</v>
      </c>
      <c r="C9" s="29"/>
      <c r="D9" s="264"/>
    </row>
    <row r="10" ht="15" customHeight="1" spans="2:19">
      <c r="J10" s="415"/>
    </row>
    <row r="11" s="1" customFormat="1" ht="15" customHeight="1" spans="2:19">
      <c r="B11" s="1" t="s">
        <v>118</v>
      </c>
      <c r="J11" s="416"/>
      <c r="K11" s="104"/>
      <c r="L11" s="417"/>
      <c r="M11" s="417"/>
      <c r="N11" s="104"/>
      <c r="O11" s="106"/>
      <c r="P11" s="106"/>
      <c r="Q11" s="106"/>
      <c r="R11" s="106"/>
      <c r="S11" s="106"/>
    </row>
    <row r="12" ht="15" customHeight="1" spans="2:19">
      <c r="C12" s="3" t="s">
        <v>119</v>
      </c>
      <c r="D12" s="66">
        <v>13075</v>
      </c>
      <c r="E12" s="66">
        <v>13346</v>
      </c>
      <c r="F12" s="66">
        <v>12370</v>
      </c>
      <c r="G12" s="66">
        <v>11778</v>
      </c>
      <c r="H12" s="66">
        <v>12651</v>
      </c>
      <c r="I12" s="418"/>
      <c r="J12" s="418"/>
      <c r="K12" s="419"/>
      <c r="L12" s="101"/>
      <c r="M12" s="101"/>
      <c r="N12" s="417"/>
    </row>
    <row r="13" ht="15" customHeight="1" spans="2:19">
      <c r="C13" s="3" t="s">
        <v>120</v>
      </c>
      <c r="D13" s="66">
        <v>4823</v>
      </c>
      <c r="E13" s="66">
        <v>6882</v>
      </c>
      <c r="F13" s="66">
        <v>6552</v>
      </c>
      <c r="G13" s="66">
        <v>6311</v>
      </c>
      <c r="H13" s="66">
        <v>6177</v>
      </c>
      <c r="I13" s="418"/>
      <c r="J13" s="418"/>
      <c r="K13" s="420"/>
      <c r="L13" s="101"/>
      <c r="M13" s="101"/>
      <c r="N13" s="101"/>
      <c r="O13" s="403"/>
      <c r="P13" s="403"/>
      <c r="Q13" s="403"/>
      <c r="R13" s="403"/>
      <c r="S13" s="403"/>
    </row>
    <row r="14" ht="15" customHeight="1" spans="2:19">
      <c r="C14" s="3" t="s">
        <v>121</v>
      </c>
      <c r="D14" s="66">
        <v>416</v>
      </c>
      <c r="E14" s="66">
        <v>288</v>
      </c>
      <c r="F14" s="66">
        <v>293</v>
      </c>
      <c r="G14" s="66">
        <v>814</v>
      </c>
      <c r="H14" s="66">
        <v>526</v>
      </c>
      <c r="I14" s="418"/>
      <c r="J14" s="418"/>
      <c r="K14" s="420"/>
      <c r="L14" s="101"/>
      <c r="M14" s="101"/>
      <c r="N14" s="101"/>
      <c r="O14" s="403"/>
      <c r="P14" s="403"/>
      <c r="Q14" s="403"/>
      <c r="R14" s="403"/>
      <c r="S14" s="403"/>
    </row>
    <row r="15" ht="15" customHeight="1" spans="2:19">
      <c r="C15" s="3" t="s">
        <v>122</v>
      </c>
      <c r="D15" s="66">
        <v>6195</v>
      </c>
      <c r="E15" s="66">
        <v>7248</v>
      </c>
      <c r="F15" s="66">
        <v>7303</v>
      </c>
      <c r="G15" s="66">
        <v>10106</v>
      </c>
      <c r="H15" s="66">
        <v>12117</v>
      </c>
      <c r="I15" s="418"/>
      <c r="J15" s="418"/>
      <c r="K15" s="420"/>
      <c r="L15" s="101"/>
      <c r="M15" s="101"/>
      <c r="N15" s="101"/>
      <c r="O15" s="403"/>
      <c r="P15" s="403"/>
      <c r="Q15" s="403"/>
      <c r="R15" s="403"/>
      <c r="S15" s="403"/>
    </row>
    <row r="16" ht="15" customHeight="1" spans="2:19">
      <c r="C16" s="3" t="s">
        <v>123</v>
      </c>
      <c r="D16" s="66">
        <v>1707</v>
      </c>
      <c r="E16" s="66">
        <v>1749</v>
      </c>
      <c r="F16" s="66">
        <v>1397</v>
      </c>
      <c r="G16" s="66">
        <v>2766</v>
      </c>
      <c r="H16" s="66">
        <v>2825</v>
      </c>
      <c r="I16" s="418"/>
      <c r="J16" s="418"/>
      <c r="K16" s="420"/>
      <c r="L16" s="101"/>
      <c r="M16" s="101"/>
      <c r="N16" s="101"/>
      <c r="O16" s="403"/>
      <c r="P16" s="403"/>
      <c r="Q16" s="403"/>
      <c r="R16" s="403"/>
      <c r="S16" s="403"/>
    </row>
    <row r="17" ht="15" customHeight="1" spans="2:19">
      <c r="C17" s="396" t="s">
        <v>124</v>
      </c>
      <c r="D17" s="66"/>
      <c r="E17" s="66"/>
      <c r="F17" s="66"/>
      <c r="G17" s="66"/>
      <c r="H17" s="66"/>
      <c r="I17" s="418"/>
      <c r="J17" s="418"/>
      <c r="K17" s="420"/>
      <c r="L17" s="101"/>
      <c r="M17" s="101"/>
      <c r="N17" s="101"/>
      <c r="O17" s="403"/>
      <c r="P17" s="403"/>
      <c r="Q17" s="403"/>
      <c r="R17" s="403"/>
      <c r="S17" s="403"/>
    </row>
    <row r="18" ht="15" customHeight="1" spans="2:19">
      <c r="C18" s="397" t="s">
        <v>125</v>
      </c>
      <c r="D18" s="66">
        <v>13651</v>
      </c>
      <c r="E18" s="66">
        <v>12569</v>
      </c>
      <c r="F18" s="66">
        <v>11708</v>
      </c>
      <c r="G18" s="66">
        <v>11059</v>
      </c>
      <c r="H18" s="66">
        <v>8930</v>
      </c>
      <c r="I18" s="418"/>
      <c r="J18" s="418"/>
      <c r="K18" s="420"/>
      <c r="L18" s="421"/>
      <c r="M18" s="421"/>
      <c r="N18" s="101"/>
      <c r="O18" s="403"/>
      <c r="P18" s="403"/>
      <c r="Q18" s="403"/>
      <c r="R18" s="403"/>
      <c r="S18" s="403"/>
    </row>
    <row r="19" ht="15" customHeight="1" spans="2:19">
      <c r="C19" s="397" t="s">
        <v>126</v>
      </c>
      <c r="D19" s="66">
        <v>34</v>
      </c>
      <c r="E19" s="66">
        <v>39</v>
      </c>
      <c r="F19" s="66">
        <v>34</v>
      </c>
      <c r="G19" s="66">
        <v>16</v>
      </c>
      <c r="H19" s="66">
        <v>6</v>
      </c>
      <c r="I19" s="418"/>
      <c r="J19" s="418"/>
      <c r="K19" s="420"/>
      <c r="L19" s="421"/>
      <c r="M19" s="421"/>
      <c r="N19" s="101"/>
      <c r="O19" s="403"/>
      <c r="P19" s="403"/>
      <c r="Q19" s="403"/>
      <c r="R19" s="403"/>
      <c r="S19" s="403"/>
    </row>
    <row r="20" ht="15" customHeight="1" spans="2:19">
      <c r="C20" s="397" t="s">
        <v>127</v>
      </c>
      <c r="D20" s="66">
        <v>1460</v>
      </c>
      <c r="E20" s="66">
        <v>2798</v>
      </c>
      <c r="F20" s="66">
        <v>3105</v>
      </c>
      <c r="G20" s="66">
        <v>3511</v>
      </c>
      <c r="H20" s="66">
        <v>2776</v>
      </c>
      <c r="I20" s="418"/>
      <c r="J20" s="418"/>
      <c r="L20" s="421"/>
      <c r="M20" s="421"/>
      <c r="N20" s="101"/>
      <c r="O20" s="403"/>
      <c r="P20" s="403"/>
      <c r="Q20" s="403"/>
      <c r="R20" s="403"/>
      <c r="S20" s="403"/>
    </row>
    <row r="21" ht="15" customHeight="1" spans="2:19">
      <c r="C21" s="397" t="s">
        <v>128</v>
      </c>
      <c r="D21" s="66">
        <v>1212</v>
      </c>
      <c r="E21" s="66">
        <v>1245</v>
      </c>
      <c r="F21" s="66">
        <v>454</v>
      </c>
      <c r="G21" s="66">
        <v>1108</v>
      </c>
      <c r="H21" s="66">
        <v>2264</v>
      </c>
      <c r="I21" s="418"/>
      <c r="J21" s="418"/>
      <c r="K21" s="422"/>
      <c r="L21" s="101"/>
      <c r="M21" s="101"/>
      <c r="N21" s="421"/>
      <c r="O21" s="403"/>
      <c r="P21" s="403"/>
      <c r="Q21" s="403"/>
      <c r="R21" s="403"/>
      <c r="S21" s="403"/>
    </row>
    <row r="22" ht="15" customHeight="1" spans="2:19">
      <c r="C22" s="3" t="s">
        <v>129</v>
      </c>
      <c r="D22" s="66">
        <v>6098</v>
      </c>
      <c r="E22" s="66">
        <v>6453</v>
      </c>
      <c r="F22" s="66">
        <v>3045</v>
      </c>
      <c r="G22" s="66">
        <v>1622</v>
      </c>
      <c r="H22" s="66">
        <v>666</v>
      </c>
      <c r="I22" s="418"/>
      <c r="J22" s="418"/>
      <c r="K22" s="422"/>
      <c r="L22" s="101"/>
      <c r="M22" s="101"/>
      <c r="N22" s="101"/>
      <c r="O22" s="403"/>
      <c r="P22" s="403"/>
      <c r="Q22" s="403"/>
      <c r="R22" s="403"/>
      <c r="S22" s="403"/>
    </row>
    <row r="23" ht="15" customHeight="1" spans="2:19">
      <c r="C23" s="3" t="s">
        <v>130</v>
      </c>
      <c r="D23" s="66">
        <v>2029</v>
      </c>
      <c r="E23" s="66">
        <v>2318</v>
      </c>
      <c r="F23" s="66">
        <v>2121</v>
      </c>
      <c r="G23" s="66">
        <v>2713</v>
      </c>
      <c r="H23" s="66">
        <v>3540</v>
      </c>
      <c r="I23" s="418"/>
      <c r="J23" s="418"/>
      <c r="K23" s="422"/>
      <c r="L23" s="101"/>
      <c r="M23" s="101"/>
      <c r="N23" s="101"/>
      <c r="O23" s="403"/>
      <c r="P23" s="403"/>
      <c r="Q23" s="403"/>
      <c r="R23" s="403"/>
      <c r="S23" s="403"/>
    </row>
    <row r="24" ht="15" customHeight="1" spans="2:19">
      <c r="D24" s="66"/>
      <c r="E24" s="66"/>
      <c r="F24" s="66"/>
      <c r="G24" s="66"/>
      <c r="H24" s="66"/>
      <c r="I24" s="1"/>
      <c r="J24" s="416"/>
      <c r="K24" s="422"/>
      <c r="L24" s="101"/>
      <c r="M24" s="101"/>
      <c r="N24" s="101"/>
      <c r="O24" s="403"/>
      <c r="P24" s="403"/>
      <c r="Q24" s="403"/>
      <c r="R24" s="403"/>
      <c r="S24" s="403"/>
    </row>
    <row r="25" s="1" customFormat="1" ht="15" customHeight="1" spans="2:19">
      <c r="B25" s="1" t="s">
        <v>131</v>
      </c>
      <c r="D25" s="423">
        <f>SUM(D12:D16,D18:D23)</f>
        <v>50700</v>
      </c>
      <c r="E25" s="423">
        <f>SUM(E12:E16,E18:E23)</f>
        <v>54935</v>
      </c>
      <c r="F25" s="423">
        <f>SUM(F12:F16,F18:F23)</f>
        <v>48382</v>
      </c>
      <c r="G25" s="423">
        <f>SUM(G12:G16,G18:G23)</f>
        <v>51804</v>
      </c>
      <c r="H25" s="423">
        <f>SUM(H12:H16,H18:H23)</f>
        <v>52478</v>
      </c>
      <c r="I25" s="3"/>
      <c r="J25" s="416"/>
      <c r="K25" s="420"/>
      <c r="L25" s="101"/>
      <c r="M25" s="101"/>
      <c r="N25" s="101"/>
      <c r="O25" s="403"/>
      <c r="P25" s="403"/>
      <c r="Q25" s="403"/>
      <c r="R25" s="403"/>
      <c r="S25" s="403"/>
    </row>
    <row r="26" ht="15" customHeight="1" spans="2:19">
      <c r="E26" s="14"/>
      <c r="F26" s="14"/>
      <c r="G26" s="14"/>
      <c r="H26" s="14"/>
      <c r="I26" s="1"/>
      <c r="J26" s="418"/>
      <c r="K26" s="420"/>
      <c r="L26" s="101"/>
      <c r="M26" s="101"/>
      <c r="N26" s="101"/>
      <c r="O26" s="403"/>
      <c r="P26" s="403"/>
      <c r="Q26" s="403"/>
      <c r="R26" s="403"/>
      <c r="S26" s="403"/>
    </row>
    <row r="27" s="1" customFormat="1" ht="15" customHeight="1" spans="2:19">
      <c r="B27" s="1" t="s">
        <v>132</v>
      </c>
      <c r="E27" s="57"/>
      <c r="F27" s="57"/>
      <c r="G27" s="57"/>
      <c r="H27" s="57"/>
      <c r="I27" s="3"/>
      <c r="J27" s="418"/>
      <c r="K27" s="424"/>
      <c r="L27" s="424"/>
      <c r="M27" s="101"/>
      <c r="N27" s="101"/>
      <c r="O27" s="403"/>
      <c r="P27" s="403"/>
      <c r="Q27" s="403"/>
      <c r="R27" s="403"/>
      <c r="S27" s="403"/>
    </row>
    <row r="28" ht="15" customHeight="1" spans="2:19">
      <c r="C28" s="396" t="s">
        <v>124</v>
      </c>
      <c r="D28" s="66"/>
      <c r="E28" s="66"/>
      <c r="F28" s="66"/>
      <c r="G28" s="66"/>
      <c r="H28" s="66"/>
      <c r="I28" s="418"/>
      <c r="J28" s="418"/>
      <c r="K28" s="425"/>
      <c r="L28" s="101"/>
      <c r="M28" s="101"/>
      <c r="N28" s="101"/>
      <c r="O28" s="403"/>
      <c r="P28" s="403"/>
      <c r="Q28" s="403"/>
      <c r="R28" s="403"/>
      <c r="S28" s="403"/>
    </row>
    <row r="29" ht="15" customHeight="1" spans="2:19">
      <c r="C29" s="3" t="s">
        <v>125</v>
      </c>
      <c r="D29" s="66">
        <v>6673</v>
      </c>
      <c r="E29" s="66">
        <v>6909</v>
      </c>
      <c r="F29" s="66">
        <v>12915</v>
      </c>
      <c r="G29" s="66">
        <v>12482</v>
      </c>
      <c r="H29" s="66">
        <v>12950</v>
      </c>
      <c r="I29" s="418"/>
      <c r="J29" s="418"/>
      <c r="L29" s="101"/>
      <c r="M29" s="101"/>
      <c r="N29" s="101"/>
      <c r="O29" s="403"/>
      <c r="P29" s="403"/>
      <c r="Q29" s="403"/>
      <c r="R29" s="403"/>
      <c r="S29" s="403"/>
    </row>
    <row r="30" ht="15" customHeight="1" spans="2:19">
      <c r="C30" s="3" t="s">
        <v>133</v>
      </c>
      <c r="D30" s="66">
        <v>22698</v>
      </c>
      <c r="E30" s="66">
        <v>25424</v>
      </c>
      <c r="F30" s="66">
        <v>30193</v>
      </c>
      <c r="G30" s="66">
        <v>31158</v>
      </c>
      <c r="H30" s="66">
        <v>35234</v>
      </c>
      <c r="I30" s="418"/>
      <c r="J30" s="418"/>
      <c r="K30" s="420"/>
      <c r="L30" s="417"/>
      <c r="M30" s="417"/>
      <c r="N30" s="417"/>
      <c r="O30" s="403"/>
      <c r="P30" s="403"/>
      <c r="Q30" s="403"/>
      <c r="R30" s="403"/>
      <c r="S30" s="403"/>
    </row>
    <row r="31" ht="15" customHeight="1" spans="2:19">
      <c r="C31" s="3" t="s">
        <v>134</v>
      </c>
      <c r="D31" s="66">
        <v>17472</v>
      </c>
      <c r="E31" s="66">
        <v>12173</v>
      </c>
      <c r="F31" s="66">
        <v>14786</v>
      </c>
      <c r="G31" s="66">
        <v>24455</v>
      </c>
      <c r="H31" s="66">
        <v>22201</v>
      </c>
      <c r="I31" s="426"/>
      <c r="J31" s="426"/>
      <c r="K31" s="427"/>
      <c r="L31" s="426"/>
      <c r="M31" s="426"/>
      <c r="N31" s="426"/>
      <c r="O31" s="407"/>
      <c r="P31" s="407"/>
      <c r="Q31" s="407"/>
      <c r="R31" s="407"/>
      <c r="S31" s="407"/>
    </row>
    <row r="32" ht="15" customHeight="1" spans="2:19">
      <c r="C32" s="3" t="s">
        <v>126</v>
      </c>
      <c r="D32" s="66">
        <v>248</v>
      </c>
      <c r="E32" s="66">
        <v>289</v>
      </c>
      <c r="F32" s="66">
        <v>248</v>
      </c>
      <c r="G32" s="66">
        <v>249</v>
      </c>
      <c r="H32" s="66">
        <v>234</v>
      </c>
      <c r="I32" s="426"/>
      <c r="J32" s="426"/>
      <c r="K32" s="427"/>
      <c r="L32" s="426"/>
      <c r="M32" s="426"/>
      <c r="N32" s="426"/>
      <c r="O32" s="407"/>
      <c r="P32" s="407"/>
      <c r="Q32" s="407"/>
      <c r="R32" s="407"/>
      <c r="S32" s="407"/>
    </row>
    <row r="33" ht="15" customHeight="1" spans="2:19">
      <c r="C33" s="3" t="s">
        <v>127</v>
      </c>
      <c r="D33" s="66">
        <v>8727</v>
      </c>
      <c r="E33" s="66">
        <v>11604</v>
      </c>
      <c r="F33" s="66">
        <v>12085</v>
      </c>
      <c r="G33" s="66">
        <v>13840</v>
      </c>
      <c r="H33" s="66">
        <v>15890</v>
      </c>
      <c r="I33" s="418"/>
      <c r="J33" s="416"/>
      <c r="K33" s="416"/>
      <c r="L33" s="416"/>
      <c r="M33" s="416"/>
      <c r="N33" s="416"/>
      <c r="O33" s="403"/>
      <c r="P33" s="403"/>
      <c r="Q33" s="403"/>
      <c r="R33" s="403"/>
      <c r="S33" s="403"/>
    </row>
    <row r="34" ht="15" customHeight="1" spans="2:19">
      <c r="C34" s="3" t="s">
        <v>129</v>
      </c>
      <c r="D34" s="66">
        <v>54</v>
      </c>
      <c r="E34" s="66">
        <v>6</v>
      </c>
      <c r="F34" s="66">
        <v>6397</v>
      </c>
      <c r="G34" s="66">
        <v>2975</v>
      </c>
      <c r="H34" s="66">
        <v>1835</v>
      </c>
      <c r="I34" s="418"/>
      <c r="J34" s="416"/>
      <c r="K34" s="428"/>
      <c r="L34" s="421"/>
      <c r="M34" s="421"/>
      <c r="N34" s="421"/>
      <c r="O34" s="403"/>
      <c r="P34" s="403"/>
      <c r="Q34" s="403"/>
      <c r="R34" s="403"/>
      <c r="S34" s="403"/>
    </row>
    <row r="35" ht="15" customHeight="1" spans="2:19">
      <c r="C35" s="3" t="s">
        <v>135</v>
      </c>
      <c r="D35" s="66">
        <v>11313</v>
      </c>
      <c r="E35" s="66">
        <v>14476</v>
      </c>
      <c r="F35" s="66">
        <v>12808</v>
      </c>
      <c r="G35" s="66">
        <v>11940</v>
      </c>
      <c r="H35" s="66">
        <v>15145</v>
      </c>
      <c r="I35" s="429"/>
      <c r="J35" s="415"/>
      <c r="K35" s="428"/>
      <c r="L35" s="101"/>
      <c r="M35" s="101"/>
      <c r="N35" s="101"/>
      <c r="O35" s="403"/>
      <c r="P35" s="403"/>
      <c r="Q35" s="403"/>
      <c r="R35" s="403"/>
      <c r="S35" s="403"/>
    </row>
    <row r="36" ht="15" customHeight="1" spans="2:19">
      <c r="D36" s="66"/>
      <c r="E36" s="66"/>
      <c r="F36" s="66"/>
      <c r="G36" s="66"/>
      <c r="H36" s="66"/>
      <c r="I36" s="429"/>
      <c r="J36" s="416"/>
      <c r="K36" s="428"/>
      <c r="L36" s="101"/>
      <c r="M36" s="101"/>
      <c r="N36" s="101"/>
      <c r="O36" s="403"/>
      <c r="P36" s="403"/>
      <c r="Q36" s="403"/>
      <c r="R36" s="403"/>
      <c r="S36" s="403"/>
    </row>
    <row r="37" s="1" customFormat="1" ht="15" customHeight="1" spans="2:19">
      <c r="B37" s="1" t="s">
        <v>136</v>
      </c>
      <c r="D37" s="423">
        <f>SUM(D29:D35)</f>
        <v>67185</v>
      </c>
      <c r="E37" s="423">
        <f>SUM(E29:E35)</f>
        <v>70881</v>
      </c>
      <c r="F37" s="423">
        <f>SUM(F29:F35)</f>
        <v>89432</v>
      </c>
      <c r="G37" s="423">
        <f>SUM(G29:G35)</f>
        <v>97099</v>
      </c>
      <c r="H37" s="423">
        <f>SUM(H29:H35)</f>
        <v>103489</v>
      </c>
      <c r="I37" s="3"/>
      <c r="J37" s="418"/>
      <c r="K37" s="418"/>
      <c r="L37" s="101"/>
      <c r="M37" s="101"/>
      <c r="N37" s="101"/>
      <c r="O37" s="403"/>
      <c r="P37" s="403"/>
      <c r="Q37" s="403"/>
      <c r="R37" s="403"/>
      <c r="S37" s="403"/>
    </row>
    <row r="38" ht="15" customHeight="1" spans="2:19">
      <c r="D38" s="14"/>
      <c r="E38" s="14"/>
      <c r="F38" s="14"/>
      <c r="G38" s="14"/>
      <c r="H38" s="14"/>
      <c r="I38" s="429"/>
      <c r="J38" s="418"/>
      <c r="K38" s="420"/>
      <c r="L38" s="101"/>
      <c r="M38" s="101"/>
      <c r="N38" s="101"/>
      <c r="O38" s="403"/>
      <c r="P38" s="403"/>
      <c r="Q38" s="403"/>
      <c r="R38" s="403"/>
      <c r="S38" s="403"/>
    </row>
    <row r="39" s="1" customFormat="1" ht="15" customHeight="1" spans="2:19">
      <c r="B39" s="398" t="s">
        <v>137</v>
      </c>
      <c r="C39" s="398"/>
      <c r="D39" s="18">
        <f>D25+D37</f>
        <v>117885</v>
      </c>
      <c r="E39" s="18">
        <f>E25+E37</f>
        <v>125816</v>
      </c>
      <c r="F39" s="18">
        <f>F25+F37</f>
        <v>137814</v>
      </c>
      <c r="G39" s="18">
        <f>G25+G37</f>
        <v>148903</v>
      </c>
      <c r="H39" s="18">
        <f>H25+H37</f>
        <v>155967</v>
      </c>
      <c r="I39" s="429"/>
      <c r="J39" s="416"/>
      <c r="K39" s="420"/>
      <c r="L39" s="101"/>
      <c r="M39" s="101"/>
      <c r="N39" s="101"/>
      <c r="O39" s="403"/>
      <c r="P39" s="403"/>
      <c r="Q39" s="403"/>
      <c r="R39" s="403"/>
      <c r="S39" s="403"/>
    </row>
    <row r="40" ht="15" customHeight="1" spans="2:19">
      <c r="E40" s="14"/>
      <c r="F40" s="14"/>
      <c r="G40" s="14"/>
      <c r="H40" s="14"/>
      <c r="I40" s="429"/>
      <c r="J40" s="418"/>
      <c r="L40" s="101"/>
      <c r="M40" s="101"/>
      <c r="N40" s="101"/>
      <c r="O40" s="408"/>
      <c r="P40" s="408"/>
      <c r="Q40" s="408"/>
      <c r="R40" s="408"/>
      <c r="S40" s="408"/>
    </row>
    <row r="41" ht="15" customHeight="1" spans="2:19">
      <c r="B41" s="29" t="s">
        <v>138</v>
      </c>
      <c r="C41" s="29"/>
      <c r="D41" s="264"/>
      <c r="E41" s="14"/>
      <c r="F41" s="14"/>
      <c r="G41" s="14"/>
      <c r="H41" s="14"/>
      <c r="I41" s="25"/>
      <c r="J41" s="416"/>
      <c r="L41" s="101"/>
      <c r="M41" s="101"/>
      <c r="N41" s="101"/>
      <c r="O41" s="408"/>
      <c r="P41" s="408"/>
      <c r="Q41" s="408"/>
      <c r="R41" s="408"/>
      <c r="S41" s="408"/>
    </row>
    <row r="42" ht="15" customHeight="1" spans="2:19">
      <c r="B42" s="2"/>
      <c r="C42" s="2"/>
      <c r="D42" s="2"/>
      <c r="E42" s="14"/>
      <c r="F42" s="14"/>
      <c r="G42" s="14"/>
      <c r="H42" s="14"/>
      <c r="J42" s="416"/>
      <c r="L42" s="101"/>
      <c r="M42" s="101"/>
      <c r="N42" s="101"/>
      <c r="O42" s="403"/>
      <c r="P42" s="403"/>
      <c r="Q42" s="403"/>
      <c r="R42" s="403"/>
      <c r="S42" s="403"/>
    </row>
    <row r="43" ht="15" customHeight="1" spans="2:19">
      <c r="B43" s="1" t="s">
        <v>139</v>
      </c>
      <c r="E43" s="14"/>
      <c r="F43" s="14"/>
      <c r="G43" s="14"/>
      <c r="H43" s="14"/>
      <c r="J43" s="416"/>
      <c r="L43" s="101"/>
      <c r="M43" s="101"/>
      <c r="N43" s="101"/>
      <c r="O43" s="409"/>
      <c r="P43" s="409"/>
      <c r="Q43" s="409"/>
      <c r="R43" s="409"/>
      <c r="S43" s="409"/>
    </row>
    <row r="44" ht="15" customHeight="1" spans="2:19">
      <c r="C44" s="3" t="s">
        <v>140</v>
      </c>
      <c r="D44" s="66">
        <v>2098</v>
      </c>
      <c r="E44" s="66">
        <v>2069</v>
      </c>
      <c r="F44" s="66">
        <v>2071</v>
      </c>
      <c r="G44" s="66">
        <v>2073</v>
      </c>
      <c r="H44" s="66">
        <v>2024</v>
      </c>
      <c r="J44" s="418"/>
      <c r="K44" s="420"/>
      <c r="L44" s="417"/>
      <c r="M44" s="417"/>
      <c r="N44" s="417"/>
      <c r="O44" s="410"/>
      <c r="P44" s="410"/>
      <c r="Q44" s="410"/>
      <c r="R44" s="410"/>
      <c r="S44" s="410"/>
    </row>
    <row r="45" ht="15" customHeight="1" spans="2:19">
      <c r="C45" s="3" t="s">
        <v>141</v>
      </c>
      <c r="D45" s="66">
        <v>73252</v>
      </c>
      <c r="E45" s="66">
        <v>73338</v>
      </c>
      <c r="F45" s="66">
        <v>86045</v>
      </c>
      <c r="G45" s="66">
        <v>93745</v>
      </c>
      <c r="H45" s="66">
        <v>90828</v>
      </c>
      <c r="J45" s="418"/>
      <c r="K45" s="420"/>
      <c r="L45" s="417"/>
      <c r="M45" s="417"/>
      <c r="N45" s="417"/>
      <c r="O45" s="410"/>
      <c r="P45" s="410"/>
      <c r="Q45" s="410"/>
      <c r="R45" s="410"/>
      <c r="S45" s="410"/>
    </row>
    <row r="46" ht="15" customHeight="1" spans="2:19">
      <c r="C46" s="3" t="s">
        <v>142</v>
      </c>
      <c r="D46" s="66">
        <v>386</v>
      </c>
      <c r="E46" s="66">
        <v>388</v>
      </c>
      <c r="F46" s="66">
        <v>345</v>
      </c>
      <c r="G46" s="66">
        <v>385</v>
      </c>
      <c r="H46" s="66">
        <v>445</v>
      </c>
      <c r="J46" s="418"/>
      <c r="K46" s="420"/>
      <c r="L46" s="417"/>
      <c r="M46" s="417"/>
      <c r="N46" s="417"/>
      <c r="O46" s="410"/>
      <c r="P46" s="410"/>
      <c r="Q46" s="410"/>
      <c r="R46" s="410"/>
      <c r="S46" s="410"/>
    </row>
    <row r="47" ht="15" customHeight="1" spans="2:19">
      <c r="E47" s="66"/>
      <c r="F47" s="66"/>
      <c r="G47" s="66"/>
      <c r="H47" s="66"/>
      <c r="I47" s="1"/>
      <c r="J47" s="418"/>
      <c r="L47" s="101"/>
      <c r="M47" s="101"/>
      <c r="N47" s="101"/>
      <c r="O47" s="408"/>
      <c r="P47" s="408"/>
      <c r="Q47" s="408"/>
      <c r="R47" s="408"/>
      <c r="S47" s="408"/>
    </row>
    <row r="48" s="1" customFormat="1" ht="15" customHeight="1" spans="2:19">
      <c r="B48" s="1" t="s">
        <v>143</v>
      </c>
      <c r="D48" s="423">
        <f>SUM(D44:D46)</f>
        <v>75736</v>
      </c>
      <c r="E48" s="423">
        <f>SUM(E44:E46)</f>
        <v>75795</v>
      </c>
      <c r="F48" s="423">
        <f>SUM(F44:F46)</f>
        <v>88461</v>
      </c>
      <c r="G48" s="423">
        <f>SUM(G44:G46)</f>
        <v>96203</v>
      </c>
      <c r="H48" s="423">
        <f>SUM(H44:H46)</f>
        <v>93297</v>
      </c>
      <c r="I48" s="3"/>
      <c r="J48" s="418"/>
      <c r="L48" s="101"/>
      <c r="M48" s="101"/>
      <c r="N48" s="101"/>
      <c r="O48" s="407"/>
      <c r="P48" s="407"/>
      <c r="Q48" s="407"/>
      <c r="R48" s="407"/>
      <c r="S48" s="407"/>
    </row>
    <row r="49" ht="15" customHeight="1" spans="2:19">
      <c r="E49" s="14"/>
      <c r="F49" s="14"/>
      <c r="G49" s="14"/>
      <c r="H49" s="14"/>
      <c r="I49" s="1"/>
      <c r="J49" s="418"/>
      <c r="L49" s="101"/>
      <c r="M49" s="101"/>
      <c r="N49" s="101"/>
    </row>
    <row r="50" s="1" customFormat="1" ht="15" customHeight="1" spans="2:19">
      <c r="B50" s="1" t="s">
        <v>144</v>
      </c>
      <c r="E50" s="57"/>
      <c r="F50" s="57"/>
      <c r="G50" s="57"/>
      <c r="H50" s="57"/>
      <c r="J50" s="418"/>
      <c r="K50" s="428"/>
      <c r="L50" s="417"/>
      <c r="M50" s="417"/>
      <c r="N50" s="417"/>
      <c r="O50" s="403"/>
      <c r="P50" s="403"/>
      <c r="Q50" s="403"/>
      <c r="R50" s="403"/>
      <c r="S50" s="403"/>
    </row>
    <row r="51" s="1" customFormat="1" ht="15" customHeight="1" spans="2:19">
      <c r="C51" s="396" t="s">
        <v>145</v>
      </c>
      <c r="D51" s="396"/>
      <c r="E51" s="57"/>
      <c r="F51" s="57"/>
      <c r="G51" s="57"/>
      <c r="H51" s="57"/>
      <c r="I51" s="418"/>
      <c r="J51" s="416"/>
      <c r="K51" s="428"/>
      <c r="L51" s="421"/>
      <c r="M51" s="421"/>
      <c r="N51" s="421"/>
      <c r="O51" s="403"/>
      <c r="P51" s="403"/>
      <c r="Q51" s="403"/>
      <c r="R51" s="403"/>
      <c r="S51" s="403"/>
    </row>
    <row r="52" ht="15" customHeight="1" spans="2:19">
      <c r="C52" s="3" t="s">
        <v>146</v>
      </c>
      <c r="D52" s="66">
        <v>4602</v>
      </c>
      <c r="E52" s="66">
        <v>7057</v>
      </c>
      <c r="F52" s="66">
        <v>6400</v>
      </c>
      <c r="G52" s="66">
        <v>5772</v>
      </c>
      <c r="H52" s="66">
        <v>6016</v>
      </c>
      <c r="I52" s="418"/>
      <c r="J52" s="418"/>
      <c r="L52" s="421"/>
      <c r="M52" s="421"/>
      <c r="N52" s="421"/>
      <c r="O52" s="403"/>
      <c r="P52" s="403"/>
      <c r="Q52" s="403"/>
      <c r="R52" s="403"/>
      <c r="S52" s="403"/>
    </row>
    <row r="53" ht="15" customHeight="1" spans="2:19">
      <c r="C53" s="3" t="s">
        <v>147</v>
      </c>
      <c r="D53" s="66">
        <v>2337</v>
      </c>
      <c r="E53" s="66">
        <v>2058</v>
      </c>
      <c r="F53" s="66">
        <v>2130</v>
      </c>
      <c r="G53" s="66">
        <v>2141</v>
      </c>
      <c r="H53" s="66">
        <v>2092</v>
      </c>
      <c r="I53" s="418"/>
      <c r="J53" s="418"/>
      <c r="L53" s="101"/>
      <c r="M53" s="101"/>
      <c r="N53" s="101"/>
      <c r="O53" s="403"/>
      <c r="P53" s="403"/>
      <c r="Q53" s="403"/>
      <c r="R53" s="403"/>
      <c r="S53" s="403"/>
    </row>
    <row r="54" ht="15" customHeight="1" spans="2:19">
      <c r="C54" s="3" t="s">
        <v>148</v>
      </c>
      <c r="D54" s="66">
        <v>451</v>
      </c>
      <c r="E54" s="66">
        <v>500</v>
      </c>
      <c r="F54" s="66">
        <v>235</v>
      </c>
      <c r="G54" s="66">
        <v>215</v>
      </c>
      <c r="H54" s="66">
        <v>561</v>
      </c>
      <c r="I54" s="418"/>
      <c r="J54" s="418"/>
      <c r="L54" s="101"/>
      <c r="M54" s="101"/>
      <c r="N54" s="101"/>
      <c r="O54" s="403"/>
      <c r="P54" s="403"/>
      <c r="Q54" s="403"/>
      <c r="R54" s="403"/>
      <c r="S54" s="403"/>
    </row>
    <row r="55" ht="15" customHeight="1" spans="2:19">
      <c r="C55" s="3" t="s">
        <v>149</v>
      </c>
      <c r="D55" s="66">
        <v>1156</v>
      </c>
      <c r="E55" s="66">
        <v>1220</v>
      </c>
      <c r="F55" s="66">
        <v>1794</v>
      </c>
      <c r="G55" s="66">
        <v>1722</v>
      </c>
      <c r="H55" s="66">
        <v>1679</v>
      </c>
      <c r="I55" s="418"/>
      <c r="J55" s="418"/>
      <c r="L55" s="101"/>
      <c r="M55" s="101"/>
      <c r="N55" s="101"/>
      <c r="O55" s="408"/>
      <c r="P55" s="408"/>
      <c r="Q55" s="408"/>
      <c r="R55" s="408"/>
      <c r="S55" s="408"/>
    </row>
    <row r="56" ht="15" customHeight="1" spans="2:19">
      <c r="E56" s="66"/>
      <c r="F56" s="66"/>
      <c r="G56" s="66"/>
      <c r="H56" s="66"/>
      <c r="I56" s="1"/>
      <c r="J56" s="418"/>
      <c r="L56" s="101"/>
      <c r="M56" s="101"/>
      <c r="N56" s="101"/>
      <c r="O56" s="403"/>
      <c r="P56" s="403"/>
      <c r="Q56" s="403"/>
      <c r="R56" s="403"/>
      <c r="S56" s="403"/>
    </row>
    <row r="57" s="1" customFormat="1" ht="15" customHeight="1" spans="2:19">
      <c r="B57" s="1" t="s">
        <v>150</v>
      </c>
      <c r="D57" s="423">
        <f>SUM(D52:D55)</f>
        <v>8546</v>
      </c>
      <c r="E57" s="423">
        <f>SUM(E52:E55)</f>
        <v>10835</v>
      </c>
      <c r="F57" s="423">
        <f>SUM(F52:F55)</f>
        <v>10559</v>
      </c>
      <c r="G57" s="423">
        <f>SUM(G52:G55)</f>
        <v>9850</v>
      </c>
      <c r="H57" s="423">
        <f>SUM(H52:H55)</f>
        <v>10348</v>
      </c>
      <c r="I57" s="3"/>
      <c r="J57" s="418"/>
      <c r="K57" s="420"/>
      <c r="L57" s="101"/>
      <c r="M57" s="101"/>
      <c r="N57" s="101"/>
      <c r="O57" s="403"/>
      <c r="P57" s="403"/>
      <c r="Q57" s="403"/>
      <c r="R57" s="403"/>
      <c r="S57" s="403"/>
    </row>
    <row r="58" ht="15" customHeight="1" spans="2:19">
      <c r="E58" s="14"/>
      <c r="F58" s="14"/>
      <c r="G58" s="14"/>
      <c r="H58" s="14"/>
      <c r="I58" s="1"/>
      <c r="J58" s="418"/>
      <c r="K58" s="420"/>
      <c r="L58" s="417"/>
      <c r="M58" s="417"/>
      <c r="N58" s="417"/>
      <c r="O58" s="403"/>
      <c r="P58" s="403"/>
      <c r="Q58" s="403"/>
      <c r="R58" s="403"/>
      <c r="S58" s="403"/>
    </row>
    <row r="59" s="1" customFormat="1" ht="15" customHeight="1" spans="2:19">
      <c r="B59" s="1" t="s">
        <v>151</v>
      </c>
      <c r="E59" s="57"/>
      <c r="F59" s="57"/>
      <c r="G59" s="57"/>
      <c r="H59" s="57"/>
      <c r="J59" s="418"/>
      <c r="K59" s="420"/>
      <c r="L59" s="417"/>
      <c r="M59" s="417"/>
      <c r="N59" s="417"/>
      <c r="O59" s="403"/>
      <c r="P59" s="403"/>
      <c r="Q59" s="403"/>
      <c r="R59" s="403"/>
      <c r="S59" s="403"/>
    </row>
    <row r="60" s="1" customFormat="1" ht="15" customHeight="1" spans="2:19">
      <c r="C60" s="396" t="s">
        <v>145</v>
      </c>
      <c r="D60" s="396"/>
      <c r="E60" s="57"/>
      <c r="F60" s="57"/>
      <c r="G60" s="57"/>
      <c r="H60" s="57"/>
      <c r="I60" s="3"/>
      <c r="J60" s="418"/>
      <c r="L60" s="421"/>
      <c r="M60" s="421"/>
      <c r="N60" s="421"/>
      <c r="O60" s="403"/>
      <c r="P60" s="403"/>
      <c r="Q60" s="403"/>
      <c r="R60" s="403"/>
      <c r="S60" s="403"/>
    </row>
    <row r="61" ht="15" customHeight="1" spans="2:19">
      <c r="C61" s="3" t="s">
        <v>152</v>
      </c>
      <c r="D61" s="66">
        <v>872</v>
      </c>
      <c r="E61" s="66">
        <v>1242</v>
      </c>
      <c r="F61" s="66">
        <v>1959</v>
      </c>
      <c r="G61" s="66">
        <v>2455</v>
      </c>
      <c r="H61" s="66">
        <v>3160</v>
      </c>
      <c r="I61" s="418"/>
      <c r="J61" s="416"/>
      <c r="L61" s="101"/>
      <c r="M61" s="101"/>
      <c r="N61" s="101"/>
      <c r="O61" s="403"/>
      <c r="P61" s="403"/>
      <c r="Q61" s="403"/>
      <c r="R61" s="403"/>
      <c r="S61" s="403"/>
    </row>
    <row r="62" ht="15" customHeight="1" spans="2:19">
      <c r="C62" s="3" t="s">
        <v>153</v>
      </c>
      <c r="D62" s="66">
        <v>4134</v>
      </c>
      <c r="E62" s="66">
        <v>3865</v>
      </c>
      <c r="F62" s="66">
        <v>3956</v>
      </c>
      <c r="G62" s="66">
        <v>4164</v>
      </c>
      <c r="H62" s="66">
        <v>4744</v>
      </c>
      <c r="I62" s="418"/>
      <c r="J62" s="416"/>
      <c r="L62" s="101"/>
      <c r="M62" s="101"/>
      <c r="N62" s="101"/>
      <c r="O62" s="403"/>
      <c r="P62" s="403"/>
      <c r="Q62" s="403"/>
      <c r="R62" s="403"/>
      <c r="S62" s="403"/>
    </row>
    <row r="63" ht="15" customHeight="1" spans="2:19">
      <c r="C63" s="3" t="s">
        <v>154</v>
      </c>
      <c r="D63" s="66">
        <v>15837</v>
      </c>
      <c r="E63" s="66">
        <v>18558</v>
      </c>
      <c r="F63" s="66">
        <v>16959</v>
      </c>
      <c r="G63" s="66">
        <v>18138</v>
      </c>
      <c r="H63" s="66">
        <v>21483</v>
      </c>
      <c r="I63" s="418"/>
      <c r="J63" s="416"/>
      <c r="L63" s="101"/>
      <c r="M63" s="101"/>
      <c r="N63" s="101"/>
      <c r="O63" s="408"/>
      <c r="P63" s="408"/>
      <c r="Q63" s="408"/>
      <c r="R63" s="408"/>
      <c r="S63" s="408"/>
    </row>
    <row r="64" ht="15" customHeight="1" spans="2:19">
      <c r="C64" s="3" t="s">
        <v>155</v>
      </c>
      <c r="D64" s="66">
        <v>9178</v>
      </c>
      <c r="E64" s="66">
        <v>10830</v>
      </c>
      <c r="F64" s="66">
        <v>10539</v>
      </c>
      <c r="G64" s="66">
        <v>11765</v>
      </c>
      <c r="H64" s="66">
        <v>15779</v>
      </c>
      <c r="I64" s="418"/>
      <c r="J64" s="419"/>
      <c r="L64" s="101"/>
      <c r="M64" s="101"/>
      <c r="N64" s="101"/>
      <c r="O64" s="408"/>
      <c r="P64" s="408"/>
      <c r="Q64" s="408"/>
      <c r="R64" s="408"/>
      <c r="S64" s="408"/>
    </row>
    <row r="65" ht="15" customHeight="1" spans="2:19">
      <c r="C65" s="3" t="s">
        <v>156</v>
      </c>
      <c r="D65" s="66">
        <v>975</v>
      </c>
      <c r="E65" s="66">
        <v>1307</v>
      </c>
      <c r="F65" s="66">
        <v>1796</v>
      </c>
      <c r="G65" s="66">
        <v>1475</v>
      </c>
      <c r="H65" s="66">
        <v>1512</v>
      </c>
      <c r="I65" s="418"/>
      <c r="J65" s="419"/>
      <c r="L65" s="101"/>
      <c r="M65" s="101"/>
      <c r="N65" s="101"/>
      <c r="O65" s="408"/>
      <c r="P65" s="408"/>
      <c r="Q65" s="408"/>
      <c r="R65" s="408"/>
      <c r="S65" s="408"/>
    </row>
    <row r="66" ht="15" customHeight="1" spans="2:19">
      <c r="C66" s="3" t="s">
        <v>157</v>
      </c>
      <c r="D66" s="66">
        <v>2607</v>
      </c>
      <c r="E66" s="66">
        <v>3384</v>
      </c>
      <c r="F66" s="66">
        <v>3585</v>
      </c>
      <c r="G66" s="66">
        <v>4853</v>
      </c>
      <c r="H66" s="66">
        <v>5644</v>
      </c>
      <c r="I66" s="418"/>
    </row>
    <row r="67" ht="15" customHeight="1" spans="2:19">
      <c r="E67" s="66"/>
      <c r="F67" s="66"/>
      <c r="G67" s="66"/>
      <c r="H67" s="66"/>
      <c r="I67" s="418"/>
    </row>
    <row r="68" s="1" customFormat="1" ht="15" customHeight="1" spans="2:19">
      <c r="B68" s="1" t="s">
        <v>158</v>
      </c>
      <c r="D68" s="423">
        <f>SUM(D61:D67)</f>
        <v>33603</v>
      </c>
      <c r="E68" s="423">
        <f>SUM(E61:E67)</f>
        <v>39186</v>
      </c>
      <c r="F68" s="423">
        <f>SUM(F61:F67)</f>
        <v>38794</v>
      </c>
      <c r="G68" s="423">
        <f>SUM(G61:G67)</f>
        <v>42850</v>
      </c>
      <c r="H68" s="423">
        <f>SUM(H61:H67)</f>
        <v>52322</v>
      </c>
      <c r="I68" s="418"/>
    </row>
    <row r="69" ht="15" customHeight="1" spans="2:19">
      <c r="D69" s="14"/>
      <c r="E69" s="14"/>
      <c r="F69" s="14"/>
      <c r="G69" s="14"/>
      <c r="H69" s="14"/>
      <c r="I69" s="418"/>
    </row>
    <row r="70" s="1" customFormat="1" ht="15" customHeight="1" spans="2:19">
      <c r="B70" s="398" t="s">
        <v>137</v>
      </c>
      <c r="C70" s="398"/>
      <c r="D70" s="18">
        <f>D68+D57+D48</f>
        <v>117885</v>
      </c>
      <c r="E70" s="18">
        <f>E68+E57+E48</f>
        <v>125816</v>
      </c>
      <c r="F70" s="18">
        <f>F68+F57+F48</f>
        <v>137814</v>
      </c>
      <c r="G70" s="18">
        <f>G68+G57+G48</f>
        <v>148903</v>
      </c>
      <c r="H70" s="18">
        <f>H68+H57+H48</f>
        <v>155967</v>
      </c>
      <c r="I70" s="418"/>
    </row>
    <row r="71" ht="13.5" customHeight="1" spans="2:19">
      <c r="D71" s="14">
        <f>D70-D39</f>
        <v>0</v>
      </c>
      <c r="E71" s="14">
        <f>E70-E39</f>
        <v>0</v>
      </c>
      <c r="F71" s="14">
        <f>F70-F39</f>
        <v>0</v>
      </c>
      <c r="G71" s="14">
        <f>G70-G39</f>
        <v>0</v>
      </c>
      <c r="H71" s="14">
        <f>H70-H39</f>
        <v>0</v>
      </c>
    </row>
    <row r="73" ht="13.5" customHeight="1" spans="2:19">
      <c r="C73" s="208" t="s">
        <v>106</v>
      </c>
      <c r="D73" s="208"/>
      <c r="E73" s="208"/>
      <c r="F73" s="208"/>
      <c r="G73" s="208"/>
      <c r="H73" s="208"/>
    </row>
    <row r="74" ht="13.5" customHeight="1" spans="2:19">
      <c r="C74" s="242" t="s">
        <v>159</v>
      </c>
      <c r="D74" s="242"/>
      <c r="E74" s="13"/>
      <c r="F74" s="13"/>
      <c r="G74" s="13"/>
      <c r="H74" s="13"/>
    </row>
    <row r="75" ht="13.5" customHeight="1" spans="2:19">
      <c r="C75" s="13" t="s">
        <v>160</v>
      </c>
      <c r="D75" s="430">
        <f>D37/D68</f>
        <v>1.99937505579859</v>
      </c>
      <c r="E75" s="430">
        <f>E37/E68</f>
        <v>1.80883478793447</v>
      </c>
      <c r="F75" s="430">
        <f>F37/F68</f>
        <v>2.30530494406351</v>
      </c>
      <c r="G75" s="430">
        <f>G37/G68</f>
        <v>2.26602100350058</v>
      </c>
      <c r="H75" s="430">
        <f>H37/H68</f>
        <v>1.97792515576622</v>
      </c>
    </row>
    <row r="76" ht="13.5" customHeight="1" spans="2:19">
      <c r="C76" s="13" t="s">
        <v>161</v>
      </c>
      <c r="D76" s="430">
        <f>(D30+D31)/D68</f>
        <v>1.1954289795554</v>
      </c>
      <c r="E76" s="430">
        <f>(E30+E31)/E68</f>
        <v>0.95944980350125</v>
      </c>
      <c r="F76" s="430">
        <f>(F30+F31)/F68</f>
        <v>1.15943187090787</v>
      </c>
      <c r="G76" s="430">
        <f>(G30+G31)/G68</f>
        <v>1.29785297549592</v>
      </c>
      <c r="H76" s="430">
        <f>(H30+H31)/H68</f>
        <v>1.0977217996254</v>
      </c>
    </row>
    <row r="77" ht="13.5" customHeight="1" spans="2:19">
      <c r="C77" s="13" t="s">
        <v>162</v>
      </c>
      <c r="D77" s="430">
        <f>(D31)/D68</f>
        <v>0.51995357557361</v>
      </c>
      <c r="E77" s="430">
        <f>(E31)/E68</f>
        <v>0.310646659521258</v>
      </c>
      <c r="F77" s="430">
        <f>(F31)/F68</f>
        <v>0.381141413620663</v>
      </c>
      <c r="G77" s="430">
        <f>(G31)/G68</f>
        <v>0.57071178529755</v>
      </c>
      <c r="H77" s="430">
        <f>(H31)/H68</f>
        <v>0.424314819769886</v>
      </c>
    </row>
    <row r="78" ht="13.5" customHeight="1" spans="2:19">
      <c r="C78" s="242" t="s">
        <v>163</v>
      </c>
      <c r="D78" s="13"/>
      <c r="E78" s="13"/>
      <c r="F78" s="13"/>
      <c r="G78" s="13"/>
      <c r="H78" s="13"/>
    </row>
    <row r="79" ht="13.5" customHeight="1" spans="2:19">
      <c r="C79" s="13" t="s">
        <v>164</v>
      </c>
      <c r="D79" s="430">
        <f>'P&amp;L Input'!C26/'P&amp;L Input'!C30</f>
        <v>1.11468162322666</v>
      </c>
      <c r="E79" s="430">
        <f>'P&amp;L Input'!D26/'P&amp;L Input'!D30</f>
        <v>1.12572159733381</v>
      </c>
      <c r="F79" s="430">
        <f>'P&amp;L Input'!E26/'P&amp;L Input'!E30</f>
        <v>1.12831203028142</v>
      </c>
      <c r="G79" s="430">
        <f>'P&amp;L Input'!F26/'P&amp;L Input'!F30</f>
        <v>1.12655165158847</v>
      </c>
      <c r="H79" s="430">
        <f>'P&amp;L Input'!G26/'P&amp;L Input'!G30</f>
        <v>1.11755395683453</v>
      </c>
    </row>
    <row r="83" ht="15" customHeight="1" spans="3:14">
      <c r="C83" s="431"/>
      <c r="D83" s="432"/>
      <c r="E83" s="432"/>
      <c r="F83" s="432"/>
      <c r="G83" s="432"/>
      <c r="H83" s="432"/>
      <c r="I83" s="432"/>
    </row>
    <row r="84" ht="14.25" customHeight="1" spans="3:14">
      <c r="C84" s="433"/>
      <c r="D84" s="434"/>
      <c r="E84" s="434"/>
      <c r="F84" s="434"/>
      <c r="G84" s="434"/>
      <c r="H84" s="434"/>
      <c r="I84" s="434"/>
    </row>
    <row r="85" ht="14.25" customHeight="1" spans="3:14">
      <c r="C85" s="433"/>
      <c r="D85" s="434"/>
      <c r="E85" s="434"/>
      <c r="F85" s="434"/>
      <c r="G85" s="434"/>
      <c r="H85" s="434"/>
      <c r="I85" s="434"/>
    </row>
    <row r="86" ht="14.25" customHeight="1" spans="3:14">
      <c r="C86" s="435"/>
      <c r="D86" s="436"/>
      <c r="E86" s="436"/>
      <c r="F86" s="436"/>
      <c r="G86" s="436"/>
      <c r="H86" s="436"/>
      <c r="I86" s="436"/>
    </row>
    <row r="87" ht="14.25" customHeight="1" spans="3:14">
      <c r="C87" s="437"/>
      <c r="D87" s="438"/>
      <c r="E87" s="438"/>
      <c r="F87" s="438"/>
      <c r="G87" s="438"/>
      <c r="H87" s="438"/>
      <c r="I87" s="438"/>
    </row>
    <row r="88" ht="14.25" customHeight="1" spans="3:14">
      <c r="C88" s="433"/>
      <c r="D88" s="434"/>
      <c r="E88" s="434"/>
      <c r="F88" s="434"/>
      <c r="G88" s="434"/>
      <c r="H88" s="434"/>
      <c r="I88" s="434"/>
    </row>
    <row r="89" ht="14.25" customHeight="1" spans="3:14">
      <c r="C89" s="433"/>
      <c r="D89" s="439"/>
      <c r="E89" s="439"/>
      <c r="F89" s="439"/>
      <c r="G89" s="439"/>
      <c r="H89" s="439"/>
      <c r="I89" s="434"/>
    </row>
    <row r="90" ht="14.25" customHeight="1" spans="3:14">
      <c r="C90" s="435"/>
      <c r="D90" s="440"/>
      <c r="E90" s="440"/>
      <c r="F90" s="440"/>
      <c r="G90" s="440"/>
      <c r="H90" s="440"/>
      <c r="I90" s="441"/>
    </row>
    <row r="91" ht="13.5" customHeight="1" spans="3:14">
      <c r="C91" s="431"/>
      <c r="D91" s="431"/>
      <c r="E91" s="431"/>
      <c r="F91" s="431"/>
      <c r="G91" s="431"/>
      <c r="H91" s="431"/>
      <c r="I91" s="431"/>
    </row>
    <row r="92" ht="14.25" customHeight="1" spans="3:14">
      <c r="C92" s="435"/>
      <c r="D92" s="436"/>
      <c r="E92" s="436"/>
      <c r="F92" s="436"/>
      <c r="G92" s="436"/>
      <c r="H92" s="436"/>
      <c r="I92" s="436"/>
      <c r="K92" s="442"/>
      <c r="L92" s="443"/>
      <c r="M92" s="443"/>
    </row>
    <row r="93" ht="13.5" customHeight="1" spans="3:14">
      <c r="J93" s="23"/>
      <c r="L93" s="442"/>
      <c r="M93" s="443"/>
      <c r="N93" s="443"/>
    </row>
    <row r="94" ht="13.5" customHeight="1" spans="3:14">
      <c r="L94" s="442"/>
      <c r="M94" s="443"/>
      <c r="N94" s="443"/>
    </row>
    <row r="95" ht="13.5" customHeight="1" spans="3:14">
      <c r="E95" s="443"/>
      <c r="F95" s="443"/>
      <c r="G95" s="443"/>
      <c r="H95" s="443"/>
      <c r="I95" s="443"/>
      <c r="J95" s="443"/>
      <c r="K95" s="23"/>
      <c r="L95" s="23"/>
      <c r="M95" s="443"/>
      <c r="N95" s="443"/>
    </row>
    <row r="96" ht="13.5" customHeight="1" spans="3:14">
      <c r="L96" s="442"/>
      <c r="M96" s="443"/>
      <c r="N96" s="443"/>
    </row>
    <row r="97" ht="13.5" customHeight="1" spans="11:14">
      <c r="K97" s="23"/>
      <c r="L97" s="442"/>
      <c r="M97" s="443"/>
      <c r="N97" s="443"/>
    </row>
  </sheetData>
  <mergeCells count="7">
    <mergeCell ref="B6:H6"/>
    <mergeCell ref="B9:C9"/>
    <mergeCell ref="B39:C39"/>
    <mergeCell ref="B41:C41"/>
    <mergeCell ref="B70:C70"/>
    <mergeCell ref="B2:D4"/>
    <mergeCell ref="B7:C8"/>
  </mergeCells>
  <pageMargins left="0.7" right="0.7" top="0.75" bottom="0.75" header="0.511811023622047" footer="0.511811023622047"/>
  <pageSetup paperSize="1"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CC"/>
  </sheetPr>
  <dimension ref="A2:S100"/>
  <sheetViews>
    <sheetView showGridLines="0" topLeftCell="A13" workbookViewId="0">
      <selection activeCell="B8" sqref="B8:C9"/>
    </sheetView>
  </sheetViews>
  <sheetFormatPr defaultColWidth="8.83333333333333" defaultRowHeight="13.8"/>
  <cols>
    <col min="1" max="2" width="3.83333333333333" style="3" customWidth="1"/>
    <col min="3" max="3" width="74.2685185185185" style="3" customWidth="1"/>
    <col min="4" max="7" width="13.1666666666667" style="3" customWidth="1"/>
    <col min="8" max="8" width="13.5" style="3" customWidth="1"/>
    <col min="9" max="9" width="9.16666666666667" style="3" customWidth="1"/>
    <col min="10" max="10" width="9.83333333333333" style="3" customWidth="1"/>
    <col min="11" max="11" width="8.83333333333333" style="3"/>
    <col min="12" max="14" width="9.83333333333333" style="3" customWidth="1"/>
    <col min="15" max="16384" width="8.83333333333333" style="3"/>
  </cols>
  <sheetData>
    <row r="2" ht="13.5" customHeight="1" spans="1:19">
      <c r="B2" s="173" t="s">
        <v>21</v>
      </c>
      <c r="C2" s="173"/>
      <c r="D2" s="173"/>
    </row>
    <row r="3" ht="13.5" customHeight="1" spans="1:19">
      <c r="B3" s="173"/>
      <c r="C3" s="173"/>
      <c r="D3" s="173"/>
    </row>
    <row r="4" ht="13.5" customHeight="1" spans="1:19">
      <c r="B4" s="173"/>
      <c r="C4" s="173"/>
      <c r="D4" s="173"/>
    </row>
    <row r="6" ht="14.25" customHeight="1" spans="1:19">
      <c r="C6" s="210"/>
      <c r="D6" s="210"/>
      <c r="G6" s="39" t="s">
        <v>83</v>
      </c>
      <c r="H6" s="39"/>
    </row>
    <row r="7" ht="14.25" customHeight="1" spans="1:19">
      <c r="B7" s="399" t="s">
        <v>165</v>
      </c>
      <c r="C7" s="399"/>
      <c r="D7" s="399"/>
      <c r="E7" s="399"/>
      <c r="F7" s="399"/>
      <c r="G7" s="399"/>
      <c r="H7" s="399"/>
    </row>
    <row r="8" ht="14.25" customHeight="1" spans="1:19">
      <c r="B8" s="175" t="s">
        <v>39</v>
      </c>
      <c r="C8" s="175"/>
      <c r="D8" s="9">
        <f>'BS Input'!D7</f>
        <v>2022</v>
      </c>
      <c r="E8" s="9">
        <f>'BS Input'!E7</f>
        <v>2023</v>
      </c>
      <c r="F8" s="9">
        <f>'BS Input'!F7</f>
        <v>2024</v>
      </c>
      <c r="G8" s="9">
        <f>'BS Input'!G7</f>
        <v>2025</v>
      </c>
      <c r="H8" s="9">
        <f>'BS Input'!H7</f>
        <v>2026</v>
      </c>
    </row>
    <row r="9" ht="13.5" customHeight="1" spans="1:19">
      <c r="B9" s="175"/>
      <c r="C9" s="175"/>
      <c r="D9" s="11" t="s">
        <v>84</v>
      </c>
      <c r="E9" s="11" t="s">
        <v>84</v>
      </c>
      <c r="F9" s="11" t="s">
        <v>84</v>
      </c>
      <c r="G9" s="11" t="s">
        <v>84</v>
      </c>
      <c r="H9" s="11" t="s">
        <v>84</v>
      </c>
    </row>
    <row r="10" s="1" customFormat="1" ht="13.5" customHeight="1" spans="1:19">
      <c r="A10" s="400"/>
      <c r="B10" s="400"/>
      <c r="C10" s="400"/>
      <c r="D10" s="400"/>
      <c r="E10" s="400"/>
      <c r="F10" s="400"/>
      <c r="G10" s="400"/>
      <c r="H10" s="400"/>
      <c r="I10" s="400"/>
      <c r="J10" s="400"/>
      <c r="K10" s="400"/>
      <c r="L10" s="400"/>
      <c r="M10" s="400"/>
      <c r="N10" s="400"/>
      <c r="O10" s="400"/>
    </row>
    <row r="11" s="1" customFormat="1" ht="15" customHeight="1" spans="1:19">
      <c r="A11" s="400"/>
      <c r="B11" s="401" t="s">
        <v>166</v>
      </c>
      <c r="C11" s="401"/>
      <c r="D11" s="401"/>
      <c r="E11" s="401"/>
      <c r="F11" s="401"/>
      <c r="G11" s="401"/>
      <c r="H11" s="401"/>
      <c r="I11" s="400"/>
      <c r="J11" s="400"/>
      <c r="K11" s="400"/>
      <c r="L11" s="400"/>
      <c r="M11" s="400"/>
      <c r="N11" s="400"/>
      <c r="O11" s="400"/>
      <c r="P11" s="106"/>
      <c r="Q11" s="106"/>
      <c r="R11" s="106"/>
      <c r="S11" s="106"/>
    </row>
    <row r="12" ht="15" customHeight="1" spans="1:19">
      <c r="A12" s="400"/>
      <c r="B12" s="400"/>
      <c r="C12" s="1" t="s">
        <v>167</v>
      </c>
      <c r="D12" s="402">
        <v>22146</v>
      </c>
      <c r="E12" s="402">
        <v>24108</v>
      </c>
      <c r="F12" s="402">
        <v>26248</v>
      </c>
      <c r="G12" s="402">
        <v>26750</v>
      </c>
      <c r="H12" s="402">
        <v>29474</v>
      </c>
      <c r="I12" s="400"/>
      <c r="J12" s="400"/>
      <c r="K12" s="400"/>
      <c r="L12" s="400"/>
      <c r="M12" s="400"/>
      <c r="N12" s="400"/>
      <c r="O12" s="400"/>
    </row>
    <row r="13" ht="15" customHeight="1" spans="1:19">
      <c r="A13" s="400"/>
      <c r="B13" s="400"/>
      <c r="C13" s="280" t="s">
        <v>168</v>
      </c>
      <c r="D13" s="400"/>
      <c r="E13" s="400"/>
      <c r="F13" s="400"/>
      <c r="G13" s="400"/>
      <c r="H13" s="400"/>
      <c r="I13" s="400"/>
      <c r="J13" s="400"/>
      <c r="K13" s="400"/>
      <c r="L13" s="400"/>
      <c r="M13" s="400"/>
      <c r="N13" s="400"/>
      <c r="O13" s="400"/>
      <c r="P13" s="403"/>
      <c r="Q13" s="403"/>
      <c r="R13" s="403"/>
      <c r="S13" s="403"/>
    </row>
    <row r="14" ht="15" customHeight="1" spans="1:19">
      <c r="A14" s="400"/>
      <c r="B14" s="400"/>
      <c r="C14" s="3" t="s">
        <v>169</v>
      </c>
      <c r="D14" s="402">
        <v>7964</v>
      </c>
      <c r="E14" s="402">
        <v>9214</v>
      </c>
      <c r="F14" s="402">
        <v>9740</v>
      </c>
      <c r="G14" s="402">
        <v>10858</v>
      </c>
      <c r="H14" s="402">
        <v>10521</v>
      </c>
      <c r="I14" s="400"/>
      <c r="J14" s="400"/>
      <c r="K14" s="400"/>
      <c r="L14" s="400"/>
      <c r="M14" s="400"/>
      <c r="N14" s="400"/>
      <c r="O14" s="400"/>
      <c r="P14" s="403"/>
      <c r="Q14" s="403"/>
      <c r="R14" s="403"/>
      <c r="S14" s="403"/>
    </row>
    <row r="15" ht="15" customHeight="1" spans="1:19">
      <c r="A15" s="400"/>
      <c r="B15" s="400"/>
      <c r="C15" s="3" t="s">
        <v>170</v>
      </c>
      <c r="D15" s="402">
        <v>3476</v>
      </c>
      <c r="E15" s="402">
        <v>4225</v>
      </c>
      <c r="F15" s="402">
        <v>4678</v>
      </c>
      <c r="G15" s="402">
        <v>4812</v>
      </c>
      <c r="H15" s="402">
        <v>4902</v>
      </c>
      <c r="I15" s="400"/>
      <c r="J15" s="400"/>
      <c r="K15" s="400"/>
      <c r="L15" s="400"/>
      <c r="M15" s="400"/>
      <c r="N15" s="400"/>
      <c r="O15" s="400"/>
      <c r="P15" s="403"/>
      <c r="Q15" s="403"/>
      <c r="R15" s="403"/>
      <c r="S15" s="403"/>
    </row>
    <row r="16" ht="15" customHeight="1" spans="1:19">
      <c r="A16" s="400"/>
      <c r="B16" s="400"/>
      <c r="C16" s="3" t="s">
        <v>171</v>
      </c>
      <c r="D16" s="402">
        <v>-1645</v>
      </c>
      <c r="E16" s="402">
        <v>-1817</v>
      </c>
      <c r="F16" s="402">
        <v>-2067</v>
      </c>
      <c r="G16" s="402">
        <v>-2570</v>
      </c>
      <c r="H16" s="402">
        <v>-2630</v>
      </c>
      <c r="I16" s="400"/>
      <c r="J16" s="400"/>
      <c r="K16" s="400"/>
      <c r="L16" s="400"/>
      <c r="M16" s="400"/>
      <c r="N16" s="400"/>
      <c r="O16" s="400"/>
      <c r="P16" s="403"/>
      <c r="Q16" s="403"/>
      <c r="R16" s="403"/>
      <c r="S16" s="403"/>
    </row>
    <row r="17" ht="15" customHeight="1" spans="1:19">
      <c r="A17" s="400"/>
      <c r="B17" s="400"/>
      <c r="C17" s="3" t="s">
        <v>172</v>
      </c>
      <c r="D17" s="402">
        <v>200</v>
      </c>
      <c r="E17" s="402">
        <v>284</v>
      </c>
      <c r="F17" s="402">
        <v>470</v>
      </c>
      <c r="G17" s="402">
        <v>416</v>
      </c>
      <c r="H17" s="402">
        <v>416</v>
      </c>
      <c r="I17" s="400"/>
      <c r="J17" s="400"/>
      <c r="K17" s="400"/>
      <c r="L17" s="400"/>
      <c r="M17" s="400"/>
      <c r="N17" s="400"/>
      <c r="O17" s="400"/>
      <c r="P17" s="403"/>
      <c r="Q17" s="403"/>
      <c r="R17" s="403"/>
      <c r="S17" s="403"/>
    </row>
    <row r="18" ht="15" customHeight="1" spans="1:19">
      <c r="A18" s="400"/>
      <c r="B18" s="400"/>
      <c r="C18" s="3" t="s">
        <v>173</v>
      </c>
      <c r="D18" s="402">
        <v>170</v>
      </c>
      <c r="E18" s="402">
        <v>283</v>
      </c>
      <c r="F18" s="402">
        <v>121</v>
      </c>
      <c r="G18" s="402">
        <v>48</v>
      </c>
      <c r="H18" s="402">
        <v>33</v>
      </c>
      <c r="I18" s="400"/>
      <c r="J18" s="400"/>
      <c r="K18" s="400"/>
      <c r="L18" s="400"/>
      <c r="M18" s="400"/>
      <c r="N18" s="400"/>
      <c r="O18" s="400"/>
      <c r="P18" s="403"/>
      <c r="Q18" s="403"/>
      <c r="R18" s="403"/>
      <c r="S18" s="403"/>
    </row>
    <row r="19" ht="15" customHeight="1" spans="1:19">
      <c r="A19" s="400"/>
      <c r="B19" s="400"/>
      <c r="C19" s="3" t="s">
        <v>174</v>
      </c>
      <c r="D19" s="402">
        <v>119</v>
      </c>
      <c r="E19" s="402">
        <v>161</v>
      </c>
      <c r="F19" s="402">
        <v>76</v>
      </c>
      <c r="G19" s="402">
        <v>79</v>
      </c>
      <c r="H19" s="402">
        <v>954</v>
      </c>
      <c r="I19" s="400"/>
      <c r="J19" s="400"/>
      <c r="K19" s="400"/>
      <c r="L19" s="400"/>
      <c r="M19" s="400"/>
      <c r="N19" s="400"/>
      <c r="O19" s="400"/>
      <c r="P19" s="403"/>
      <c r="Q19" s="403"/>
      <c r="R19" s="403"/>
      <c r="S19" s="403"/>
    </row>
    <row r="20" ht="15" customHeight="1" spans="1:19">
      <c r="A20" s="400"/>
      <c r="B20" s="400"/>
      <c r="C20" s="3" t="s">
        <v>175</v>
      </c>
      <c r="D20" s="402">
        <v>415</v>
      </c>
      <c r="E20" s="402">
        <v>519</v>
      </c>
      <c r="F20" s="402">
        <v>652</v>
      </c>
      <c r="G20" s="402">
        <v>802</v>
      </c>
      <c r="H20" s="402">
        <v>952</v>
      </c>
      <c r="I20" s="400"/>
      <c r="J20" s="400"/>
      <c r="K20" s="400"/>
      <c r="L20" s="400"/>
      <c r="M20" s="400"/>
      <c r="N20" s="400"/>
      <c r="O20" s="400"/>
      <c r="P20" s="403"/>
      <c r="Q20" s="403"/>
      <c r="R20" s="403"/>
      <c r="S20" s="403"/>
    </row>
    <row r="21" ht="15" customHeight="1" spans="1:19">
      <c r="A21" s="400"/>
      <c r="B21" s="400"/>
      <c r="C21" s="3" t="s">
        <v>176</v>
      </c>
      <c r="D21" s="402">
        <v>0</v>
      </c>
      <c r="E21" s="402">
        <v>0</v>
      </c>
      <c r="F21" s="402">
        <v>-1934</v>
      </c>
      <c r="G21" s="402">
        <v>-327</v>
      </c>
      <c r="H21" s="402">
        <v>-63</v>
      </c>
      <c r="I21" s="400"/>
      <c r="J21" s="400"/>
      <c r="K21" s="400"/>
      <c r="L21" s="400"/>
      <c r="M21" s="400"/>
      <c r="N21" s="400"/>
      <c r="O21" s="400"/>
      <c r="P21" s="403"/>
      <c r="Q21" s="403"/>
      <c r="R21" s="403"/>
      <c r="S21" s="403"/>
    </row>
    <row r="22" ht="15" customHeight="1" spans="1:19">
      <c r="A22" s="400"/>
      <c r="B22" s="400"/>
      <c r="C22" s="3" t="s">
        <v>177</v>
      </c>
      <c r="D22" s="402">
        <v>0</v>
      </c>
      <c r="E22" s="402">
        <v>0</v>
      </c>
      <c r="F22" s="402">
        <v>75</v>
      </c>
      <c r="G22" s="402">
        <v>-110</v>
      </c>
      <c r="H22" s="402">
        <v>-167</v>
      </c>
      <c r="I22" s="400"/>
      <c r="J22" s="400"/>
      <c r="K22" s="400"/>
      <c r="L22" s="400"/>
      <c r="M22" s="400"/>
      <c r="N22" s="400"/>
      <c r="O22" s="400"/>
      <c r="P22" s="403"/>
      <c r="Q22" s="403"/>
      <c r="R22" s="403"/>
      <c r="S22" s="403"/>
    </row>
    <row r="23" ht="15" customHeight="1" spans="1:19">
      <c r="A23" s="400"/>
      <c r="B23" s="400"/>
      <c r="C23" s="3" t="s">
        <v>178</v>
      </c>
      <c r="D23" s="402">
        <v>76</v>
      </c>
      <c r="E23" s="402">
        <v>628</v>
      </c>
      <c r="F23" s="402">
        <v>1464</v>
      </c>
      <c r="G23" s="402">
        <v>833</v>
      </c>
      <c r="H23" s="402">
        <v>881</v>
      </c>
      <c r="I23" s="400"/>
      <c r="J23" s="400"/>
      <c r="K23" s="400"/>
      <c r="L23" s="400"/>
      <c r="M23" s="400"/>
      <c r="N23" s="400"/>
      <c r="O23" s="400"/>
      <c r="P23" s="403"/>
      <c r="Q23" s="403"/>
      <c r="R23" s="403"/>
      <c r="S23" s="403"/>
    </row>
    <row r="24" ht="15" customHeight="1" spans="1:19">
      <c r="A24" s="400"/>
      <c r="B24" s="400"/>
      <c r="C24" s="400"/>
      <c r="D24" s="400"/>
      <c r="E24" s="400"/>
      <c r="F24" s="400"/>
      <c r="G24" s="400"/>
      <c r="H24" s="400"/>
      <c r="I24" s="400"/>
      <c r="J24" s="400"/>
      <c r="K24" s="400"/>
      <c r="L24" s="400"/>
      <c r="M24" s="400"/>
      <c r="N24" s="400"/>
      <c r="O24" s="400"/>
      <c r="P24" s="403"/>
      <c r="Q24" s="403"/>
      <c r="R24" s="403"/>
      <c r="S24" s="403"/>
    </row>
    <row r="25" ht="15" customHeight="1" spans="1:19">
      <c r="A25" s="400"/>
      <c r="B25" s="401" t="s">
        <v>179</v>
      </c>
      <c r="C25" s="401"/>
      <c r="D25" s="401"/>
      <c r="E25" s="401"/>
      <c r="F25" s="401"/>
      <c r="G25" s="401"/>
      <c r="H25" s="401"/>
      <c r="I25" s="400"/>
      <c r="J25" s="400"/>
      <c r="K25" s="400"/>
      <c r="L25" s="400"/>
      <c r="M25" s="400"/>
      <c r="N25" s="400"/>
      <c r="O25" s="400"/>
      <c r="P25" s="403"/>
      <c r="Q25" s="403"/>
      <c r="R25" s="403"/>
      <c r="S25" s="403"/>
    </row>
    <row r="26" ht="15" customHeight="1" spans="1:19">
      <c r="A26" s="400"/>
      <c r="B26" s="400"/>
      <c r="C26" s="3" t="s">
        <v>180</v>
      </c>
      <c r="D26" s="402">
        <v>-7937</v>
      </c>
      <c r="E26" s="402">
        <v>-7076</v>
      </c>
      <c r="F26" s="402">
        <v>-2667</v>
      </c>
      <c r="G26" s="402">
        <v>-1769</v>
      </c>
      <c r="H26" s="402">
        <v>-5177</v>
      </c>
      <c r="I26" s="400"/>
      <c r="J26" s="400"/>
      <c r="K26" s="400"/>
      <c r="L26" s="400"/>
      <c r="M26" s="400"/>
      <c r="N26" s="400"/>
      <c r="O26" s="400"/>
      <c r="P26" s="403"/>
      <c r="Q26" s="403"/>
      <c r="R26" s="403"/>
      <c r="S26" s="403"/>
    </row>
    <row r="27" s="1" customFormat="1" ht="15" customHeight="1" spans="1:19">
      <c r="A27" s="400"/>
      <c r="B27" s="400"/>
      <c r="C27" s="3" t="s">
        <v>181</v>
      </c>
      <c r="D27" s="402">
        <v>-1914</v>
      </c>
      <c r="E27" s="402">
        <v>-3108</v>
      </c>
      <c r="F27" s="402">
        <v>-1172</v>
      </c>
      <c r="G27" s="402">
        <v>-1024</v>
      </c>
      <c r="H27" s="402">
        <v>-2645</v>
      </c>
      <c r="I27" s="400"/>
      <c r="J27" s="400"/>
      <c r="K27" s="400"/>
      <c r="L27" s="400"/>
      <c r="M27" s="400"/>
      <c r="N27" s="400"/>
      <c r="O27" s="400"/>
      <c r="P27" s="403"/>
      <c r="Q27" s="403"/>
      <c r="R27" s="403"/>
      <c r="S27" s="403"/>
    </row>
    <row r="28" ht="15" customHeight="1" spans="1:19">
      <c r="A28" s="400"/>
      <c r="B28" s="400"/>
      <c r="C28" s="3" t="s">
        <v>182</v>
      </c>
      <c r="D28" s="402">
        <v>1489</v>
      </c>
      <c r="E28" s="402">
        <v>-279</v>
      </c>
      <c r="F28" s="402">
        <v>91</v>
      </c>
      <c r="G28" s="402">
        <v>176</v>
      </c>
      <c r="H28" s="402">
        <v>-26</v>
      </c>
      <c r="I28" s="400"/>
      <c r="J28" s="400"/>
      <c r="K28" s="400"/>
      <c r="L28" s="400"/>
      <c r="M28" s="400"/>
      <c r="N28" s="400"/>
      <c r="O28" s="400"/>
      <c r="P28" s="403"/>
      <c r="Q28" s="403"/>
      <c r="R28" s="403"/>
      <c r="S28" s="403"/>
    </row>
    <row r="29" s="1" customFormat="1" ht="15" customHeight="1" spans="1:19">
      <c r="A29" s="400"/>
      <c r="B29" s="400"/>
      <c r="C29" s="3" t="s">
        <v>183</v>
      </c>
      <c r="D29" s="402">
        <v>6938</v>
      </c>
      <c r="E29" s="402">
        <v>4119</v>
      </c>
      <c r="F29" s="402">
        <v>-1334</v>
      </c>
      <c r="G29" s="402">
        <v>2322</v>
      </c>
      <c r="H29" s="402">
        <v>5209</v>
      </c>
      <c r="I29" s="400"/>
      <c r="J29" s="400"/>
      <c r="K29" s="400"/>
      <c r="L29" s="400"/>
      <c r="M29" s="400"/>
      <c r="N29" s="400"/>
      <c r="O29" s="400"/>
      <c r="P29" s="403"/>
      <c r="Q29" s="403"/>
      <c r="R29" s="403"/>
      <c r="S29" s="403"/>
    </row>
    <row r="30" ht="15" customHeight="1" spans="1:19">
      <c r="A30" s="400"/>
      <c r="B30" s="400"/>
      <c r="C30" s="400"/>
      <c r="D30" s="400"/>
      <c r="E30" s="400"/>
      <c r="F30" s="400"/>
      <c r="G30" s="400"/>
      <c r="H30" s="400"/>
      <c r="I30" s="400"/>
      <c r="J30" s="400"/>
      <c r="K30" s="400"/>
      <c r="L30" s="400"/>
      <c r="M30" s="400"/>
      <c r="N30" s="400"/>
      <c r="O30" s="400"/>
      <c r="P30" s="403"/>
      <c r="Q30" s="403"/>
      <c r="R30" s="403"/>
      <c r="S30" s="403"/>
    </row>
    <row r="31" ht="15" customHeight="1" spans="1:19">
      <c r="A31" s="400"/>
      <c r="B31" s="401" t="s">
        <v>184</v>
      </c>
      <c r="C31" s="401"/>
      <c r="D31" s="404">
        <f>SUM(D12:D29)</f>
        <v>31497</v>
      </c>
      <c r="E31" s="404">
        <f>SUM(E12:E29)</f>
        <v>31261</v>
      </c>
      <c r="F31" s="404">
        <f>SUM(F12:F29)</f>
        <v>34441</v>
      </c>
      <c r="G31" s="404">
        <f>SUM(G12:G29)</f>
        <v>41296</v>
      </c>
      <c r="H31" s="404">
        <f>SUM(H12:H29)</f>
        <v>42634</v>
      </c>
      <c r="I31" s="400"/>
      <c r="J31" s="400"/>
      <c r="K31" s="400"/>
      <c r="L31" s="400"/>
      <c r="M31" s="400"/>
      <c r="N31" s="400"/>
      <c r="O31" s="400"/>
      <c r="P31" s="403"/>
      <c r="Q31" s="403"/>
      <c r="R31" s="403"/>
      <c r="S31" s="403"/>
    </row>
    <row r="32" ht="15" customHeight="1" spans="1:19">
      <c r="A32" s="400"/>
      <c r="B32" s="400"/>
      <c r="C32" s="3" t="s">
        <v>185</v>
      </c>
      <c r="D32" s="402">
        <v>-7612</v>
      </c>
      <c r="E32" s="402">
        <v>-8794</v>
      </c>
      <c r="F32" s="402">
        <v>-9231</v>
      </c>
      <c r="G32" s="402">
        <v>-5602</v>
      </c>
      <c r="H32" s="402">
        <v>-8648</v>
      </c>
      <c r="I32" s="400"/>
      <c r="J32" s="400"/>
      <c r="K32" s="400"/>
      <c r="L32" s="400"/>
      <c r="M32" s="400"/>
      <c r="N32" s="400"/>
      <c r="O32" s="400"/>
      <c r="P32" s="403"/>
      <c r="Q32" s="403"/>
      <c r="R32" s="403"/>
      <c r="S32" s="403"/>
    </row>
    <row r="33" ht="15" customHeight="1" spans="1:19">
      <c r="A33" s="400"/>
      <c r="B33" s="400"/>
      <c r="C33" s="400"/>
      <c r="D33" s="400"/>
      <c r="E33" s="400"/>
      <c r="F33" s="400"/>
      <c r="G33" s="400"/>
      <c r="H33" s="400"/>
      <c r="I33" s="400"/>
      <c r="J33" s="400"/>
      <c r="K33" s="400"/>
      <c r="L33" s="400"/>
      <c r="M33" s="400"/>
      <c r="N33" s="400"/>
      <c r="O33" s="400"/>
      <c r="P33" s="403"/>
      <c r="Q33" s="403"/>
      <c r="R33" s="403"/>
      <c r="S33" s="403"/>
    </row>
    <row r="34" ht="15" customHeight="1" spans="1:19">
      <c r="A34" s="400"/>
      <c r="B34" s="405" t="s">
        <v>186</v>
      </c>
      <c r="C34" s="405"/>
      <c r="D34" s="406">
        <f>D31+D32</f>
        <v>23885</v>
      </c>
      <c r="E34" s="406">
        <f>E31+E32</f>
        <v>22467</v>
      </c>
      <c r="F34" s="406">
        <f>F31+F32</f>
        <v>25210</v>
      </c>
      <c r="G34" s="406">
        <f>G31+G32</f>
        <v>35694</v>
      </c>
      <c r="H34" s="406">
        <f>H31+H32</f>
        <v>33986</v>
      </c>
      <c r="I34" s="400"/>
      <c r="J34" s="400"/>
      <c r="K34" s="400"/>
      <c r="L34" s="400"/>
      <c r="M34" s="400"/>
      <c r="N34" s="400"/>
      <c r="O34" s="400"/>
      <c r="P34" s="407"/>
      <c r="Q34" s="407"/>
      <c r="R34" s="407"/>
      <c r="S34" s="407"/>
    </row>
    <row r="35" ht="15" customHeight="1" spans="1:19">
      <c r="A35" s="400"/>
      <c r="B35" s="400"/>
      <c r="C35" s="400"/>
      <c r="D35" s="400"/>
      <c r="E35" s="400"/>
      <c r="F35" s="400"/>
      <c r="G35" s="400"/>
      <c r="H35" s="400"/>
      <c r="I35" s="400"/>
      <c r="J35" s="400"/>
      <c r="K35" s="400"/>
      <c r="L35" s="400"/>
      <c r="M35" s="400"/>
      <c r="N35" s="400"/>
      <c r="O35" s="400"/>
      <c r="P35" s="403"/>
      <c r="Q35" s="403"/>
      <c r="R35" s="403"/>
      <c r="S35" s="403"/>
    </row>
    <row r="36" ht="15" customHeight="1" spans="1:19">
      <c r="A36" s="400"/>
      <c r="B36" s="401" t="s">
        <v>187</v>
      </c>
      <c r="C36" s="401"/>
      <c r="D36" s="401"/>
      <c r="E36" s="401"/>
      <c r="F36" s="401"/>
      <c r="G36" s="401"/>
      <c r="H36" s="401"/>
      <c r="I36" s="400"/>
      <c r="J36" s="400"/>
      <c r="K36" s="400"/>
      <c r="L36" s="400"/>
      <c r="M36" s="400"/>
      <c r="N36" s="400"/>
      <c r="O36" s="400"/>
      <c r="P36" s="403"/>
      <c r="Q36" s="403"/>
      <c r="R36" s="403"/>
      <c r="S36" s="403"/>
    </row>
    <row r="37" s="1" customFormat="1" ht="15" customHeight="1" spans="1:19">
      <c r="A37" s="400"/>
      <c r="B37" s="400"/>
      <c r="C37" s="3" t="s">
        <v>188</v>
      </c>
      <c r="D37" s="402">
        <v>-2161</v>
      </c>
      <c r="E37" s="402">
        <v>-2579</v>
      </c>
      <c r="F37" s="402">
        <v>-2201</v>
      </c>
      <c r="G37" s="402">
        <v>-2237</v>
      </c>
      <c r="H37" s="402">
        <v>-2727</v>
      </c>
      <c r="I37" s="400"/>
      <c r="J37" s="400"/>
      <c r="K37" s="400"/>
      <c r="L37" s="400"/>
      <c r="M37" s="400"/>
      <c r="N37" s="400"/>
      <c r="O37" s="400"/>
      <c r="P37" s="403"/>
      <c r="Q37" s="403"/>
      <c r="R37" s="403"/>
      <c r="S37" s="403"/>
    </row>
    <row r="38" ht="15" customHeight="1" spans="1:19">
      <c r="A38" s="400"/>
      <c r="B38" s="400"/>
      <c r="C38" s="3" t="s">
        <v>189</v>
      </c>
      <c r="D38" s="402">
        <v>-906</v>
      </c>
      <c r="E38" s="402">
        <v>-996</v>
      </c>
      <c r="F38" s="402">
        <v>-847</v>
      </c>
      <c r="G38" s="402">
        <v>-1225</v>
      </c>
      <c r="H38" s="402">
        <v>-944</v>
      </c>
      <c r="I38" s="400"/>
      <c r="J38" s="400"/>
      <c r="K38" s="400"/>
      <c r="L38" s="400"/>
      <c r="M38" s="400"/>
      <c r="N38" s="400"/>
      <c r="O38" s="400"/>
      <c r="P38" s="408"/>
      <c r="Q38" s="408"/>
      <c r="R38" s="408"/>
      <c r="S38" s="408"/>
    </row>
    <row r="39" ht="15" customHeight="1" spans="1:19">
      <c r="A39" s="400"/>
      <c r="B39" s="400"/>
      <c r="C39" s="3" t="s">
        <v>190</v>
      </c>
      <c r="D39" s="402">
        <v>753</v>
      </c>
      <c r="E39" s="402">
        <v>762</v>
      </c>
      <c r="F39" s="402">
        <v>710</v>
      </c>
      <c r="G39" s="402">
        <v>776</v>
      </c>
      <c r="H39" s="402">
        <v>725</v>
      </c>
      <c r="I39" s="400"/>
      <c r="J39" s="400"/>
      <c r="K39" s="400"/>
      <c r="L39" s="400"/>
      <c r="M39" s="400"/>
      <c r="N39" s="400"/>
      <c r="O39" s="400"/>
      <c r="P39" s="408"/>
      <c r="Q39" s="408"/>
      <c r="R39" s="408"/>
      <c r="S39" s="408"/>
    </row>
    <row r="40" ht="15" customHeight="1" spans="1:19">
      <c r="A40" s="400"/>
      <c r="B40" s="400"/>
      <c r="C40" s="3" t="s">
        <v>191</v>
      </c>
      <c r="D40" s="402">
        <v>1898</v>
      </c>
      <c r="E40" s="402">
        <v>1525</v>
      </c>
      <c r="F40" s="402">
        <v>1768</v>
      </c>
      <c r="G40" s="402">
        <v>2040</v>
      </c>
      <c r="H40" s="402">
        <v>2713</v>
      </c>
      <c r="I40" s="400"/>
      <c r="J40" s="400"/>
      <c r="K40" s="400"/>
      <c r="L40" s="400"/>
      <c r="M40" s="400"/>
      <c r="N40" s="400"/>
      <c r="O40" s="400"/>
      <c r="P40" s="408"/>
      <c r="Q40" s="408"/>
      <c r="R40" s="408"/>
      <c r="S40" s="408"/>
    </row>
    <row r="41" ht="15" customHeight="1" spans="1:19">
      <c r="A41" s="400"/>
      <c r="B41" s="400"/>
      <c r="C41" s="3" t="s">
        <v>192</v>
      </c>
      <c r="D41" s="402">
        <v>0</v>
      </c>
      <c r="E41" s="402">
        <v>-910</v>
      </c>
      <c r="F41" s="402">
        <v>0</v>
      </c>
      <c r="G41" s="402">
        <v>-3155</v>
      </c>
      <c r="H41" s="402">
        <v>-637</v>
      </c>
      <c r="I41" s="400"/>
      <c r="J41" s="400"/>
      <c r="K41" s="400"/>
      <c r="L41" s="400"/>
      <c r="M41" s="400"/>
      <c r="N41" s="400"/>
      <c r="O41" s="400"/>
      <c r="P41" s="408"/>
      <c r="Q41" s="408"/>
      <c r="R41" s="408"/>
      <c r="S41" s="408"/>
    </row>
    <row r="42" ht="15" customHeight="1" spans="1:19">
      <c r="A42" s="400"/>
      <c r="B42" s="400"/>
      <c r="C42" s="3" t="s">
        <v>193</v>
      </c>
      <c r="D42" s="402">
        <v>-53</v>
      </c>
      <c r="E42" s="402">
        <v>-60</v>
      </c>
      <c r="F42" s="402">
        <v>-101</v>
      </c>
      <c r="G42" s="402">
        <v>0</v>
      </c>
      <c r="H42" s="402">
        <v>-13</v>
      </c>
      <c r="I42" s="400"/>
      <c r="J42" s="400"/>
      <c r="K42" s="400"/>
      <c r="L42" s="400"/>
      <c r="M42" s="400"/>
      <c r="N42" s="400"/>
      <c r="O42" s="400"/>
      <c r="P42" s="408"/>
      <c r="Q42" s="408"/>
      <c r="R42" s="408"/>
      <c r="S42" s="408"/>
    </row>
    <row r="43" ht="15" customHeight="1" spans="1:19">
      <c r="A43" s="400"/>
      <c r="B43" s="400"/>
      <c r="C43" s="3" t="s">
        <v>194</v>
      </c>
      <c r="D43" s="402">
        <v>-420</v>
      </c>
      <c r="E43" s="402">
        <v>-483</v>
      </c>
      <c r="F43" s="402">
        <v>0</v>
      </c>
      <c r="G43" s="402">
        <v>0</v>
      </c>
      <c r="H43" s="402">
        <v>-1815</v>
      </c>
      <c r="I43" s="400"/>
      <c r="J43" s="400"/>
      <c r="K43" s="400"/>
      <c r="L43" s="400"/>
      <c r="M43" s="400"/>
      <c r="N43" s="400"/>
      <c r="O43" s="400"/>
      <c r="P43" s="408"/>
      <c r="Q43" s="408"/>
      <c r="R43" s="408"/>
      <c r="S43" s="408"/>
    </row>
    <row r="44" ht="15" customHeight="1" spans="1:19">
      <c r="A44" s="400"/>
      <c r="B44" s="400"/>
      <c r="C44" s="3" t="s">
        <v>195</v>
      </c>
      <c r="D44" s="402">
        <v>420</v>
      </c>
      <c r="E44" s="402">
        <v>483</v>
      </c>
      <c r="F44" s="402">
        <v>0</v>
      </c>
      <c r="G44" s="402">
        <v>0</v>
      </c>
      <c r="H44" s="402">
        <v>1815</v>
      </c>
      <c r="I44" s="400"/>
      <c r="J44" s="400"/>
      <c r="K44" s="400"/>
      <c r="L44" s="400"/>
      <c r="M44" s="400"/>
      <c r="N44" s="400"/>
      <c r="O44" s="400"/>
      <c r="P44" s="408"/>
      <c r="Q44" s="408"/>
      <c r="R44" s="408"/>
      <c r="S44" s="408"/>
    </row>
    <row r="45" ht="15" customHeight="1" spans="1:19">
      <c r="A45" s="400"/>
      <c r="B45" s="400"/>
      <c r="C45" s="3" t="s">
        <v>196</v>
      </c>
      <c r="D45" s="402">
        <v>67</v>
      </c>
      <c r="E45" s="402">
        <v>71</v>
      </c>
      <c r="F45" s="402">
        <v>128</v>
      </c>
      <c r="G45" s="402">
        <v>10</v>
      </c>
      <c r="H45" s="402">
        <v>15</v>
      </c>
      <c r="I45" s="400"/>
      <c r="J45" s="400"/>
      <c r="K45" s="400"/>
      <c r="L45" s="400"/>
      <c r="M45" s="400"/>
      <c r="N45" s="400"/>
      <c r="O45" s="400"/>
      <c r="P45" s="408"/>
      <c r="Q45" s="408"/>
      <c r="R45" s="408"/>
      <c r="S45" s="408"/>
    </row>
    <row r="46" ht="15" customHeight="1" spans="1:19">
      <c r="A46" s="400"/>
      <c r="B46" s="400"/>
      <c r="C46" s="3" t="s">
        <v>197</v>
      </c>
      <c r="D46" s="402">
        <v>-22</v>
      </c>
      <c r="E46" s="402">
        <v>0</v>
      </c>
      <c r="F46" s="402">
        <v>0</v>
      </c>
      <c r="G46" s="402">
        <v>0</v>
      </c>
      <c r="H46" s="402">
        <v>0</v>
      </c>
      <c r="I46" s="400"/>
      <c r="J46" s="400"/>
      <c r="K46" s="400"/>
      <c r="L46" s="400"/>
      <c r="M46" s="400"/>
      <c r="N46" s="400"/>
      <c r="O46" s="400"/>
      <c r="P46" s="408"/>
      <c r="Q46" s="408"/>
      <c r="R46" s="408"/>
      <c r="S46" s="408"/>
    </row>
    <row r="47" ht="15" customHeight="1" spans="1:19">
      <c r="A47" s="400"/>
      <c r="B47" s="400"/>
      <c r="C47" s="400"/>
      <c r="D47" s="400"/>
      <c r="E47" s="400"/>
      <c r="F47" s="400"/>
      <c r="G47" s="400"/>
      <c r="H47" s="400"/>
      <c r="I47" s="400"/>
      <c r="J47" s="400"/>
      <c r="K47" s="400"/>
      <c r="L47" s="400"/>
      <c r="M47" s="400"/>
      <c r="N47" s="400"/>
      <c r="O47" s="400"/>
      <c r="P47" s="408"/>
      <c r="Q47" s="408"/>
      <c r="R47" s="408"/>
      <c r="S47" s="408"/>
    </row>
    <row r="48" ht="15" customHeight="1" spans="1:19">
      <c r="A48" s="400"/>
      <c r="B48" s="400"/>
      <c r="C48" s="280" t="s">
        <v>198</v>
      </c>
      <c r="D48" s="400"/>
      <c r="E48" s="400"/>
      <c r="F48" s="400"/>
      <c r="G48" s="400"/>
      <c r="H48" s="400"/>
      <c r="I48" s="400"/>
      <c r="J48" s="400"/>
      <c r="K48" s="400"/>
      <c r="L48" s="400"/>
      <c r="M48" s="400"/>
      <c r="N48" s="400"/>
      <c r="O48" s="400"/>
      <c r="P48" s="408"/>
      <c r="Q48" s="408"/>
      <c r="R48" s="408"/>
      <c r="S48" s="408"/>
    </row>
    <row r="49" ht="15" customHeight="1" spans="1:19">
      <c r="A49" s="400"/>
      <c r="B49" s="400"/>
      <c r="C49" s="3" t="s">
        <v>199</v>
      </c>
      <c r="D49" s="402">
        <v>0</v>
      </c>
      <c r="E49" s="402">
        <v>-27</v>
      </c>
      <c r="F49" s="402">
        <v>0</v>
      </c>
      <c r="G49" s="402">
        <v>-2</v>
      </c>
      <c r="H49" s="402">
        <v>-153</v>
      </c>
      <c r="I49" s="400"/>
      <c r="J49" s="400"/>
      <c r="K49" s="400"/>
      <c r="L49" s="400"/>
      <c r="M49" s="400"/>
      <c r="N49" s="400"/>
      <c r="O49" s="400"/>
      <c r="P49" s="408"/>
      <c r="Q49" s="408"/>
      <c r="R49" s="408"/>
      <c r="S49" s="408"/>
    </row>
    <row r="50" ht="15" customHeight="1" spans="1:19">
      <c r="A50" s="400"/>
      <c r="B50" s="400"/>
      <c r="C50" s="3" t="s">
        <v>200</v>
      </c>
      <c r="D50" s="402">
        <v>-54064</v>
      </c>
      <c r="E50" s="402">
        <v>-70631</v>
      </c>
      <c r="F50" s="402">
        <v>-66191</v>
      </c>
      <c r="G50" s="402">
        <v>-73048</v>
      </c>
      <c r="H50" s="402">
        <v>-72878</v>
      </c>
      <c r="I50" s="400"/>
      <c r="J50" s="400"/>
      <c r="K50" s="400"/>
      <c r="L50" s="400"/>
      <c r="M50" s="400"/>
      <c r="N50" s="400"/>
      <c r="O50" s="400"/>
      <c r="P50" s="408"/>
      <c r="Q50" s="408"/>
      <c r="R50" s="408"/>
      <c r="S50" s="408"/>
    </row>
    <row r="51" ht="15" customHeight="1" spans="1:19">
      <c r="A51" s="400"/>
      <c r="B51" s="400"/>
      <c r="C51" s="3" t="s">
        <v>201</v>
      </c>
      <c r="D51" s="402">
        <v>0</v>
      </c>
      <c r="E51" s="402">
        <v>-400</v>
      </c>
      <c r="F51" s="402">
        <v>0</v>
      </c>
      <c r="G51" s="402">
        <v>0</v>
      </c>
      <c r="H51" s="402">
        <v>0</v>
      </c>
      <c r="I51" s="400"/>
      <c r="J51" s="400"/>
      <c r="K51" s="400"/>
      <c r="L51" s="400"/>
      <c r="M51" s="400"/>
      <c r="N51" s="400"/>
      <c r="O51" s="400"/>
      <c r="P51" s="408"/>
      <c r="Q51" s="408"/>
      <c r="R51" s="408"/>
      <c r="S51" s="408"/>
    </row>
    <row r="52" ht="15" customHeight="1" spans="1:19">
      <c r="A52" s="400"/>
      <c r="B52" s="400"/>
      <c r="C52" s="3" t="s">
        <v>202</v>
      </c>
      <c r="D52" s="402">
        <v>-4184</v>
      </c>
      <c r="E52" s="402">
        <v>-10348</v>
      </c>
      <c r="F52" s="402">
        <v>-8509</v>
      </c>
      <c r="G52" s="402">
        <v>-6978</v>
      </c>
      <c r="H52" s="402">
        <v>-14035</v>
      </c>
      <c r="I52" s="400"/>
      <c r="J52" s="400"/>
      <c r="K52" s="400"/>
      <c r="L52" s="400"/>
      <c r="M52" s="400"/>
      <c r="N52" s="400"/>
      <c r="O52" s="400"/>
      <c r="P52" s="408"/>
      <c r="Q52" s="408"/>
      <c r="R52" s="408"/>
      <c r="S52" s="408"/>
    </row>
    <row r="53" ht="15" customHeight="1" spans="1:19">
      <c r="A53" s="400"/>
      <c r="B53" s="400"/>
      <c r="C53" s="3" t="s">
        <v>203</v>
      </c>
      <c r="D53" s="402">
        <v>0</v>
      </c>
      <c r="E53" s="402">
        <v>-3003</v>
      </c>
      <c r="F53" s="402">
        <v>-10387</v>
      </c>
      <c r="G53" s="402">
        <v>-6403</v>
      </c>
      <c r="H53" s="402">
        <v>-3255</v>
      </c>
      <c r="I53" s="400"/>
      <c r="J53" s="400"/>
      <c r="K53" s="400"/>
      <c r="L53" s="400"/>
      <c r="M53" s="400"/>
      <c r="N53" s="400"/>
      <c r="O53" s="400"/>
      <c r="P53" s="403"/>
      <c r="Q53" s="403"/>
      <c r="R53" s="403"/>
      <c r="S53" s="403"/>
    </row>
    <row r="54" ht="15" customHeight="1" spans="1:19">
      <c r="A54" s="400"/>
      <c r="B54" s="400"/>
      <c r="C54" s="3" t="s">
        <v>204</v>
      </c>
      <c r="D54" s="402">
        <v>-1609</v>
      </c>
      <c r="E54" s="402">
        <v>-249</v>
      </c>
      <c r="F54" s="402">
        <v>-1526</v>
      </c>
      <c r="G54" s="402">
        <v>-3240</v>
      </c>
      <c r="H54" s="402">
        <v>-3438</v>
      </c>
      <c r="I54" s="400"/>
      <c r="J54" s="400"/>
      <c r="K54" s="400"/>
      <c r="L54" s="400"/>
      <c r="M54" s="400"/>
      <c r="N54" s="400"/>
      <c r="O54" s="400"/>
      <c r="P54" s="403"/>
      <c r="Q54" s="403"/>
      <c r="R54" s="403"/>
      <c r="S54" s="403"/>
    </row>
    <row r="55" ht="15" customHeight="1" spans="1:19">
      <c r="A55" s="400"/>
      <c r="B55" s="400"/>
      <c r="C55" s="3" t="s">
        <v>205</v>
      </c>
      <c r="D55" s="402">
        <v>-4254</v>
      </c>
      <c r="E55" s="402">
        <v>-1569</v>
      </c>
      <c r="F55" s="402">
        <v>0</v>
      </c>
      <c r="G55" s="402">
        <v>0</v>
      </c>
      <c r="H55" s="402">
        <v>-2859</v>
      </c>
      <c r="I55" s="400"/>
      <c r="J55" s="400"/>
      <c r="K55" s="400"/>
      <c r="L55" s="400"/>
      <c r="M55" s="400"/>
      <c r="N55" s="400"/>
      <c r="O55" s="400"/>
      <c r="P55" s="403"/>
      <c r="Q55" s="403"/>
      <c r="R55" s="403"/>
      <c r="S55" s="403"/>
    </row>
    <row r="56" ht="15" customHeight="1" spans="1:19">
      <c r="A56" s="400"/>
      <c r="B56" s="400"/>
      <c r="C56" s="3" t="s">
        <v>206</v>
      </c>
      <c r="D56" s="402">
        <v>-24</v>
      </c>
      <c r="E56" s="402">
        <v>-20</v>
      </c>
      <c r="F56" s="402">
        <v>-14</v>
      </c>
      <c r="G56" s="402">
        <v>-60</v>
      </c>
      <c r="H56" s="402">
        <v>-38</v>
      </c>
      <c r="I56" s="400"/>
      <c r="J56" s="400"/>
      <c r="K56" s="400"/>
      <c r="L56" s="400"/>
      <c r="M56" s="400"/>
      <c r="N56" s="400"/>
      <c r="O56" s="400"/>
      <c r="P56" s="409"/>
      <c r="Q56" s="409"/>
      <c r="R56" s="409"/>
      <c r="S56" s="409"/>
    </row>
    <row r="57" ht="15" customHeight="1" spans="1:19">
      <c r="A57" s="400"/>
      <c r="B57" s="400"/>
      <c r="C57" s="400"/>
      <c r="D57" s="400"/>
      <c r="E57" s="400"/>
      <c r="F57" s="400"/>
      <c r="G57" s="400"/>
      <c r="H57" s="400"/>
      <c r="I57" s="400"/>
      <c r="J57" s="400"/>
      <c r="K57" s="400"/>
      <c r="L57" s="400"/>
      <c r="M57" s="400"/>
      <c r="N57" s="400"/>
      <c r="O57" s="400"/>
      <c r="P57" s="410"/>
      <c r="Q57" s="410"/>
      <c r="R57" s="410"/>
      <c r="S57" s="410"/>
    </row>
    <row r="58" ht="15" customHeight="1" spans="1:19">
      <c r="A58" s="400"/>
      <c r="B58" s="400"/>
      <c r="C58" s="280" t="s">
        <v>207</v>
      </c>
      <c r="D58" s="400"/>
      <c r="E58" s="400"/>
      <c r="F58" s="400"/>
      <c r="G58" s="400"/>
      <c r="H58" s="400"/>
      <c r="I58" s="400"/>
      <c r="J58" s="400"/>
      <c r="K58" s="400"/>
      <c r="L58" s="400"/>
      <c r="M58" s="400"/>
      <c r="N58" s="400"/>
      <c r="O58" s="400"/>
      <c r="P58" s="410"/>
      <c r="Q58" s="410"/>
      <c r="R58" s="410"/>
      <c r="S58" s="410"/>
    </row>
    <row r="59" ht="15" customHeight="1" spans="1:19">
      <c r="A59" s="400"/>
      <c r="B59" s="400"/>
      <c r="C59" s="3" t="s">
        <v>199</v>
      </c>
      <c r="D59" s="402">
        <v>20</v>
      </c>
      <c r="E59" s="402">
        <v>221</v>
      </c>
      <c r="F59" s="402">
        <v>150</v>
      </c>
      <c r="G59" s="402">
        <v>109</v>
      </c>
      <c r="H59" s="402">
        <v>1378</v>
      </c>
      <c r="I59" s="400"/>
      <c r="J59" s="400"/>
      <c r="K59" s="400"/>
      <c r="L59" s="400"/>
      <c r="M59" s="400"/>
      <c r="N59" s="400"/>
      <c r="O59" s="400"/>
      <c r="P59" s="410"/>
      <c r="Q59" s="410"/>
      <c r="R59" s="410"/>
      <c r="S59" s="410"/>
    </row>
    <row r="60" ht="15" customHeight="1" spans="1:19">
      <c r="A60" s="400"/>
      <c r="B60" s="400"/>
      <c r="C60" s="3" t="s">
        <v>208</v>
      </c>
      <c r="D60" s="402">
        <v>53669</v>
      </c>
      <c r="E60" s="402">
        <v>71851</v>
      </c>
      <c r="F60" s="402">
        <v>64767</v>
      </c>
      <c r="G60" s="402">
        <v>73987</v>
      </c>
      <c r="H60" s="402">
        <v>72682</v>
      </c>
      <c r="I60" s="400"/>
      <c r="J60" s="400"/>
      <c r="K60" s="400"/>
      <c r="L60" s="400"/>
      <c r="M60" s="400"/>
      <c r="N60" s="400"/>
      <c r="O60" s="400"/>
      <c r="P60" s="408"/>
      <c r="Q60" s="408"/>
      <c r="R60" s="408"/>
      <c r="S60" s="408"/>
    </row>
    <row r="61" s="1" customFormat="1" ht="15" customHeight="1" spans="1:19">
      <c r="A61" s="400"/>
      <c r="B61" s="400"/>
      <c r="C61" s="3" t="s">
        <v>209</v>
      </c>
      <c r="D61" s="402">
        <v>0</v>
      </c>
      <c r="E61" s="402">
        <v>0</v>
      </c>
      <c r="F61" s="402">
        <v>0</v>
      </c>
      <c r="G61" s="402">
        <v>0</v>
      </c>
      <c r="H61" s="402">
        <v>487</v>
      </c>
      <c r="I61" s="400"/>
      <c r="J61" s="400"/>
      <c r="K61" s="400"/>
      <c r="L61" s="400"/>
      <c r="M61" s="400"/>
      <c r="N61" s="400"/>
      <c r="O61" s="400"/>
      <c r="P61" s="407"/>
      <c r="Q61" s="407"/>
      <c r="R61" s="407"/>
      <c r="S61" s="407"/>
    </row>
    <row r="62" ht="15" customHeight="1" spans="1:19">
      <c r="A62" s="400"/>
      <c r="B62" s="400"/>
      <c r="C62" s="3" t="s">
        <v>202</v>
      </c>
      <c r="D62" s="402">
        <v>787</v>
      </c>
      <c r="E62" s="402">
        <v>10404</v>
      </c>
      <c r="F62" s="402">
        <v>9205</v>
      </c>
      <c r="G62" s="402">
        <v>6688</v>
      </c>
      <c r="H62" s="402">
        <v>9767</v>
      </c>
      <c r="I62" s="400"/>
      <c r="J62" s="400"/>
      <c r="K62" s="400"/>
      <c r="L62" s="400"/>
      <c r="M62" s="400"/>
      <c r="N62" s="400"/>
      <c r="O62" s="400"/>
    </row>
    <row r="63" s="1" customFormat="1" ht="15" customHeight="1" spans="1:19">
      <c r="A63" s="400"/>
      <c r="B63" s="400"/>
      <c r="C63" s="3" t="s">
        <v>203</v>
      </c>
      <c r="D63" s="402">
        <v>0</v>
      </c>
      <c r="E63" s="402">
        <v>2298</v>
      </c>
      <c r="F63" s="402">
        <v>6479</v>
      </c>
      <c r="G63" s="402">
        <v>7735</v>
      </c>
      <c r="H63" s="402">
        <v>5810</v>
      </c>
      <c r="I63" s="400"/>
      <c r="J63" s="400"/>
      <c r="K63" s="400"/>
      <c r="L63" s="400"/>
      <c r="M63" s="400"/>
      <c r="N63" s="400"/>
      <c r="O63" s="400"/>
      <c r="P63" s="403"/>
      <c r="Q63" s="403"/>
      <c r="R63" s="403"/>
      <c r="S63" s="403"/>
    </row>
    <row r="64" s="1" customFormat="1" ht="15" customHeight="1" spans="1:19">
      <c r="A64" s="400"/>
      <c r="B64" s="400"/>
      <c r="C64" s="3" t="s">
        <v>204</v>
      </c>
      <c r="D64" s="402">
        <v>2201</v>
      </c>
      <c r="E64" s="402">
        <v>470</v>
      </c>
      <c r="F64" s="402">
        <v>1230</v>
      </c>
      <c r="G64" s="402">
        <v>2591</v>
      </c>
      <c r="H64" s="402">
        <v>4083</v>
      </c>
      <c r="I64" s="400"/>
      <c r="J64" s="400"/>
      <c r="K64" s="400"/>
      <c r="L64" s="400"/>
      <c r="M64" s="400"/>
      <c r="N64" s="400"/>
      <c r="O64" s="400"/>
      <c r="P64" s="403"/>
      <c r="Q64" s="403"/>
      <c r="R64" s="403"/>
      <c r="S64" s="403"/>
    </row>
    <row r="65" s="1" customFormat="1" ht="15" customHeight="1" spans="1:19">
      <c r="A65" s="400"/>
      <c r="B65" s="400"/>
      <c r="C65" s="3" t="s">
        <v>205</v>
      </c>
      <c r="D65" s="402">
        <v>1457</v>
      </c>
      <c r="E65" s="402">
        <v>1882</v>
      </c>
      <c r="F65" s="402">
        <v>304</v>
      </c>
      <c r="G65" s="402">
        <v>455</v>
      </c>
      <c r="H65" s="402">
        <v>5259</v>
      </c>
      <c r="I65" s="400"/>
      <c r="J65" s="400"/>
      <c r="K65" s="400"/>
      <c r="L65" s="400"/>
      <c r="M65" s="400"/>
      <c r="N65" s="400"/>
      <c r="O65" s="400"/>
      <c r="P65" s="403"/>
      <c r="Q65" s="403"/>
      <c r="R65" s="403"/>
      <c r="S65" s="403"/>
    </row>
    <row r="66" s="1" customFormat="1" ht="15" customHeight="1" spans="1:19">
      <c r="A66" s="400"/>
      <c r="B66" s="400"/>
      <c r="C66" s="3" t="s">
        <v>210</v>
      </c>
      <c r="D66" s="402">
        <v>0</v>
      </c>
      <c r="E66" s="402">
        <v>99</v>
      </c>
      <c r="F66" s="402">
        <v>26</v>
      </c>
      <c r="G66" s="402">
        <v>0</v>
      </c>
      <c r="H66" s="402">
        <v>0</v>
      </c>
      <c r="I66" s="400"/>
      <c r="J66" s="400"/>
      <c r="K66" s="400"/>
      <c r="L66" s="400"/>
      <c r="M66" s="400"/>
      <c r="N66" s="400"/>
      <c r="O66" s="400"/>
      <c r="P66" s="403"/>
      <c r="Q66" s="403"/>
      <c r="R66" s="403"/>
      <c r="S66" s="403"/>
    </row>
    <row r="67" ht="15" customHeight="1" spans="1:19">
      <c r="A67" s="400"/>
      <c r="B67" s="400"/>
      <c r="C67" s="3" t="s">
        <v>206</v>
      </c>
      <c r="D67" s="402">
        <v>9</v>
      </c>
      <c r="E67" s="402">
        <v>0</v>
      </c>
      <c r="F67" s="402">
        <v>0</v>
      </c>
      <c r="G67" s="402">
        <v>11</v>
      </c>
      <c r="H67" s="402">
        <v>4</v>
      </c>
      <c r="I67" s="400"/>
      <c r="J67" s="400"/>
      <c r="K67" s="400"/>
      <c r="L67" s="400"/>
      <c r="M67" s="400"/>
      <c r="N67" s="400"/>
      <c r="O67" s="400"/>
      <c r="P67" s="403"/>
      <c r="Q67" s="403"/>
      <c r="R67" s="403"/>
      <c r="S67" s="403"/>
    </row>
    <row r="68" ht="15" customHeight="1" spans="1:19">
      <c r="A68" s="400"/>
      <c r="B68" s="400"/>
      <c r="C68" s="400"/>
      <c r="D68" s="400"/>
      <c r="E68" s="400"/>
      <c r="F68" s="400"/>
      <c r="G68" s="400"/>
      <c r="H68" s="400"/>
      <c r="I68" s="400"/>
      <c r="J68" s="400"/>
      <c r="K68" s="400"/>
      <c r="L68" s="400"/>
      <c r="M68" s="400"/>
      <c r="N68" s="400"/>
      <c r="O68" s="400"/>
      <c r="P68" s="403"/>
      <c r="Q68" s="403"/>
      <c r="R68" s="403"/>
      <c r="S68" s="403"/>
    </row>
    <row r="69" ht="15" customHeight="1" spans="1:19">
      <c r="A69" s="400"/>
      <c r="B69" s="405" t="s">
        <v>211</v>
      </c>
      <c r="C69" s="405"/>
      <c r="D69" s="406">
        <f>SUM(D37:D67)</f>
        <v>-6416</v>
      </c>
      <c r="E69" s="406">
        <f>SUM(E37:E67)</f>
        <v>-1209</v>
      </c>
      <c r="F69" s="406">
        <f>SUM(F37:F67)</f>
        <v>-5009</v>
      </c>
      <c r="G69" s="406">
        <f>SUM(G37:G67)</f>
        <v>-1946</v>
      </c>
      <c r="H69" s="406">
        <f>SUM(H37:H67)</f>
        <v>1946</v>
      </c>
      <c r="I69" s="400"/>
      <c r="J69" s="400"/>
      <c r="K69" s="400"/>
      <c r="L69" s="400"/>
      <c r="M69" s="400"/>
      <c r="N69" s="400"/>
      <c r="O69" s="400"/>
      <c r="P69" s="403"/>
      <c r="Q69" s="403"/>
      <c r="R69" s="403"/>
      <c r="S69" s="403"/>
    </row>
    <row r="70" ht="15" customHeight="1" spans="1:19">
      <c r="A70" s="400"/>
      <c r="B70" s="400"/>
      <c r="C70" s="400"/>
      <c r="D70" s="400"/>
      <c r="E70" s="400"/>
      <c r="F70" s="400"/>
      <c r="G70" s="400"/>
      <c r="H70" s="400"/>
      <c r="I70" s="400"/>
      <c r="J70" s="400"/>
      <c r="K70" s="400"/>
      <c r="L70" s="400"/>
      <c r="M70" s="400"/>
      <c r="N70" s="400"/>
      <c r="O70" s="400"/>
      <c r="P70" s="403"/>
      <c r="Q70" s="403"/>
      <c r="R70" s="403"/>
      <c r="S70" s="403"/>
    </row>
    <row r="71" ht="15" customHeight="1" spans="1:19">
      <c r="A71" s="400"/>
      <c r="B71" s="401" t="s">
        <v>212</v>
      </c>
      <c r="C71" s="401"/>
      <c r="D71" s="401"/>
      <c r="E71" s="401"/>
      <c r="F71" s="401"/>
      <c r="G71" s="401"/>
      <c r="H71" s="401"/>
      <c r="I71" s="400"/>
      <c r="J71" s="400"/>
      <c r="K71" s="400"/>
      <c r="L71" s="400"/>
      <c r="M71" s="400"/>
      <c r="N71" s="400"/>
      <c r="O71" s="400"/>
      <c r="P71" s="403"/>
      <c r="Q71" s="403"/>
      <c r="R71" s="403"/>
      <c r="S71" s="403"/>
    </row>
    <row r="72" ht="15" customHeight="1" spans="1:19">
      <c r="A72" s="400"/>
      <c r="B72" s="400"/>
      <c r="C72" s="3" t="s">
        <v>213</v>
      </c>
      <c r="D72" s="402">
        <v>-915</v>
      </c>
      <c r="E72" s="402">
        <v>-1231</v>
      </c>
      <c r="F72" s="402">
        <v>-2024</v>
      </c>
      <c r="G72" s="402">
        <v>-2355</v>
      </c>
      <c r="H72" s="402">
        <v>-2824</v>
      </c>
      <c r="I72" s="400"/>
      <c r="J72" s="400"/>
      <c r="K72" s="400"/>
      <c r="L72" s="400"/>
      <c r="M72" s="400"/>
      <c r="N72" s="400"/>
      <c r="O72" s="400"/>
    </row>
    <row r="73" ht="15" customHeight="1" spans="1:19">
      <c r="A73" s="400"/>
      <c r="B73" s="400"/>
      <c r="C73" s="3" t="s">
        <v>214</v>
      </c>
      <c r="D73" s="402">
        <v>-12652</v>
      </c>
      <c r="E73" s="402">
        <v>-13631</v>
      </c>
      <c r="F73" s="402">
        <v>-14692</v>
      </c>
      <c r="G73" s="402">
        <v>-20287</v>
      </c>
      <c r="H73" s="402">
        <v>-18653</v>
      </c>
      <c r="I73" s="400"/>
      <c r="J73" s="400"/>
      <c r="K73" s="400"/>
      <c r="L73" s="400"/>
      <c r="M73" s="400"/>
      <c r="N73" s="400"/>
      <c r="O73" s="400"/>
    </row>
    <row r="74" ht="15" customHeight="1" spans="1:19">
      <c r="A74" s="400"/>
      <c r="B74" s="400"/>
      <c r="C74" s="3" t="s">
        <v>215</v>
      </c>
      <c r="D74" s="402">
        <v>0</v>
      </c>
      <c r="E74" s="402">
        <v>0</v>
      </c>
      <c r="F74" s="402">
        <v>0</v>
      </c>
      <c r="G74" s="402">
        <v>-985</v>
      </c>
      <c r="H74" s="402">
        <v>0</v>
      </c>
      <c r="I74" s="400"/>
      <c r="J74" s="400"/>
      <c r="K74" s="400"/>
      <c r="L74" s="400"/>
      <c r="M74" s="400"/>
      <c r="N74" s="400"/>
      <c r="O74" s="400"/>
    </row>
    <row r="75" ht="15" customHeight="1" spans="1:19">
      <c r="A75" s="400"/>
      <c r="B75" s="400"/>
      <c r="C75" s="3" t="s">
        <v>216</v>
      </c>
      <c r="D75" s="402">
        <v>-79</v>
      </c>
      <c r="E75" s="402">
        <v>-22</v>
      </c>
      <c r="F75" s="402">
        <v>-39</v>
      </c>
      <c r="G75" s="402">
        <v>-2</v>
      </c>
      <c r="H75" s="402">
        <v>-3</v>
      </c>
      <c r="I75" s="400"/>
      <c r="J75" s="400"/>
      <c r="K75" s="400"/>
      <c r="L75" s="400"/>
      <c r="M75" s="400"/>
      <c r="N75" s="400"/>
      <c r="O75" s="400"/>
    </row>
    <row r="76" ht="15" customHeight="1" spans="1:19">
      <c r="A76" s="400"/>
      <c r="B76" s="400"/>
      <c r="C76" s="13" t="s">
        <v>217</v>
      </c>
      <c r="D76" s="411">
        <v>-2</v>
      </c>
      <c r="E76" s="411">
        <v>0</v>
      </c>
      <c r="F76" s="411">
        <v>0</v>
      </c>
      <c r="G76" s="411">
        <v>0</v>
      </c>
      <c r="H76" s="411">
        <v>0</v>
      </c>
      <c r="I76" s="400"/>
      <c r="J76" s="400"/>
      <c r="K76" s="400"/>
      <c r="L76" s="400"/>
      <c r="M76" s="400"/>
      <c r="N76" s="400"/>
      <c r="O76" s="400"/>
    </row>
    <row r="77" ht="15" customHeight="1" spans="1:19">
      <c r="A77" s="400"/>
      <c r="B77" s="400"/>
      <c r="C77" s="13" t="s">
        <v>218</v>
      </c>
      <c r="D77" s="411">
        <v>0</v>
      </c>
      <c r="E77" s="411">
        <v>0</v>
      </c>
      <c r="F77" s="411">
        <v>-18</v>
      </c>
      <c r="G77" s="411">
        <v>0</v>
      </c>
      <c r="H77" s="411">
        <v>0</v>
      </c>
      <c r="I77" s="400"/>
      <c r="J77" s="400"/>
      <c r="K77" s="400"/>
      <c r="L77" s="400"/>
      <c r="M77" s="400"/>
      <c r="N77" s="400"/>
      <c r="O77" s="400"/>
    </row>
    <row r="78" ht="15" customHeight="1" spans="1:19">
      <c r="A78" s="400"/>
      <c r="B78" s="400"/>
      <c r="C78" s="13" t="s">
        <v>219</v>
      </c>
      <c r="D78" s="411">
        <v>21</v>
      </c>
      <c r="E78" s="411">
        <v>35</v>
      </c>
      <c r="F78" s="411">
        <v>5</v>
      </c>
      <c r="G78" s="411">
        <v>6</v>
      </c>
      <c r="H78" s="411">
        <v>2</v>
      </c>
      <c r="I78" s="400"/>
      <c r="J78" s="400"/>
      <c r="K78" s="400"/>
      <c r="L78" s="400"/>
      <c r="M78" s="400"/>
      <c r="N78" s="400"/>
      <c r="O78" s="400"/>
    </row>
    <row r="79" ht="15" customHeight="1" spans="1:19">
      <c r="A79" s="400"/>
      <c r="B79" s="400"/>
      <c r="C79" s="13" t="s">
        <v>196</v>
      </c>
      <c r="D79" s="411">
        <v>236</v>
      </c>
      <c r="E79" s="411">
        <v>132</v>
      </c>
      <c r="F79" s="411">
        <v>0</v>
      </c>
      <c r="G79" s="411">
        <v>0</v>
      </c>
      <c r="H79" s="411">
        <v>0</v>
      </c>
      <c r="I79" s="400"/>
      <c r="J79" s="400"/>
      <c r="K79" s="400"/>
      <c r="L79" s="400"/>
      <c r="M79" s="400"/>
      <c r="N79" s="400"/>
      <c r="O79" s="400"/>
    </row>
    <row r="80" ht="15" customHeight="1" spans="1:19">
      <c r="A80" s="400"/>
      <c r="B80" s="400"/>
      <c r="C80" s="13" t="s">
        <v>197</v>
      </c>
      <c r="D80" s="411">
        <v>-126</v>
      </c>
      <c r="E80" s="411">
        <v>-479</v>
      </c>
      <c r="F80" s="411">
        <v>-736</v>
      </c>
      <c r="G80" s="411">
        <v>-538</v>
      </c>
      <c r="H80" s="411">
        <v>-250</v>
      </c>
      <c r="I80" s="400"/>
      <c r="J80" s="400"/>
      <c r="K80" s="400"/>
      <c r="L80" s="400"/>
      <c r="M80" s="400"/>
      <c r="N80" s="400"/>
      <c r="O80" s="400"/>
    </row>
    <row r="81" ht="15" customHeight="1" spans="1:15">
      <c r="A81" s="400"/>
      <c r="B81" s="400"/>
      <c r="C81" s="13" t="s">
        <v>220</v>
      </c>
      <c r="D81" s="411">
        <v>-11125</v>
      </c>
      <c r="E81" s="411">
        <v>-11499</v>
      </c>
      <c r="F81" s="411">
        <v>0</v>
      </c>
      <c r="G81" s="411">
        <v>0</v>
      </c>
      <c r="H81" s="411">
        <v>-18058</v>
      </c>
      <c r="I81" s="400"/>
      <c r="J81" s="400"/>
      <c r="K81" s="400"/>
      <c r="L81" s="400"/>
      <c r="M81" s="400"/>
      <c r="N81" s="400"/>
      <c r="O81" s="400"/>
    </row>
    <row r="82" ht="15" customHeight="1" spans="1:15">
      <c r="A82" s="400"/>
      <c r="B82" s="400"/>
      <c r="C82" s="412"/>
      <c r="D82" s="412"/>
      <c r="E82" s="412"/>
      <c r="F82" s="412"/>
      <c r="G82" s="412"/>
      <c r="H82" s="412"/>
      <c r="I82" s="400"/>
      <c r="J82" s="400"/>
      <c r="K82" s="400"/>
      <c r="L82" s="400"/>
      <c r="M82" s="400"/>
      <c r="N82" s="400"/>
      <c r="O82" s="400"/>
    </row>
    <row r="83" ht="15" customHeight="1" spans="1:15">
      <c r="A83" s="400"/>
      <c r="B83" s="405" t="s">
        <v>221</v>
      </c>
      <c r="C83" s="405"/>
      <c r="D83" s="413">
        <f>SUM(D72:D81)</f>
        <v>-24642</v>
      </c>
      <c r="E83" s="413">
        <f>SUM(E72:E81)</f>
        <v>-26695</v>
      </c>
      <c r="F83" s="413">
        <f>SUM(F72:F81)</f>
        <v>-17504</v>
      </c>
      <c r="G83" s="413">
        <f>SUM(G72:G81)</f>
        <v>-24161</v>
      </c>
      <c r="H83" s="413">
        <f>SUM(H72:H81)</f>
        <v>-39786</v>
      </c>
      <c r="I83" s="400"/>
      <c r="J83" s="400"/>
      <c r="K83" s="400"/>
      <c r="L83" s="400"/>
      <c r="M83" s="400"/>
      <c r="N83" s="400"/>
      <c r="O83" s="400"/>
    </row>
    <row r="84" ht="15" customHeight="1" spans="1:15">
      <c r="A84" s="400"/>
      <c r="B84" s="400"/>
      <c r="C84" s="400"/>
      <c r="D84" s="400"/>
      <c r="E84" s="400"/>
      <c r="F84" s="400"/>
      <c r="G84" s="400"/>
      <c r="H84" s="400"/>
      <c r="I84" s="400"/>
      <c r="J84" s="400"/>
      <c r="K84" s="400"/>
      <c r="L84" s="400"/>
      <c r="M84" s="400"/>
      <c r="N84" s="400"/>
      <c r="O84" s="400"/>
    </row>
    <row r="85" ht="15" customHeight="1" spans="1:15">
      <c r="A85" s="400"/>
      <c r="B85" s="405" t="s">
        <v>222</v>
      </c>
      <c r="C85" s="405"/>
      <c r="D85" s="406">
        <f>D34+D69+D83</f>
        <v>-7173</v>
      </c>
      <c r="E85" s="406">
        <f>E34+E69+E83</f>
        <v>-5437</v>
      </c>
      <c r="F85" s="406">
        <f>F34+F69+F83</f>
        <v>2697</v>
      </c>
      <c r="G85" s="406">
        <f>G34+G69+G83</f>
        <v>9587</v>
      </c>
      <c r="H85" s="406">
        <f>H34+H69+H83</f>
        <v>-3854</v>
      </c>
      <c r="I85" s="400"/>
      <c r="J85" s="400"/>
      <c r="K85" s="400"/>
      <c r="L85" s="400"/>
      <c r="M85" s="400"/>
      <c r="N85" s="400"/>
      <c r="O85" s="400"/>
    </row>
    <row r="86" ht="15" customHeight="1" spans="1:15">
      <c r="A86" s="400"/>
      <c r="B86" s="400"/>
      <c r="C86" s="3" t="s">
        <v>223</v>
      </c>
      <c r="D86" s="402">
        <v>-69</v>
      </c>
      <c r="E86" s="402">
        <v>138</v>
      </c>
      <c r="F86" s="402">
        <v>-84</v>
      </c>
      <c r="G86" s="402">
        <v>82</v>
      </c>
      <c r="H86" s="402">
        <v>1600</v>
      </c>
      <c r="I86" s="400"/>
      <c r="J86" s="400"/>
      <c r="K86" s="400"/>
      <c r="L86" s="400"/>
      <c r="M86" s="400"/>
      <c r="N86" s="400"/>
      <c r="O86" s="400"/>
    </row>
    <row r="87" ht="15" customHeight="1" spans="1:15">
      <c r="A87" s="400"/>
      <c r="B87" s="400"/>
      <c r="C87" s="3" t="s">
        <v>224</v>
      </c>
      <c r="D87" s="402">
        <v>24714</v>
      </c>
      <c r="E87" s="414">
        <f>D89</f>
        <v>17472</v>
      </c>
      <c r="F87" s="414">
        <f>E89</f>
        <v>12173</v>
      </c>
      <c r="G87" s="414">
        <f>F89</f>
        <v>14786</v>
      </c>
      <c r="H87" s="414">
        <f>G89</f>
        <v>24455</v>
      </c>
      <c r="I87" s="400"/>
      <c r="J87" s="400"/>
      <c r="K87" s="400"/>
      <c r="L87" s="400"/>
      <c r="M87" s="400"/>
      <c r="N87" s="400"/>
      <c r="O87" s="400"/>
    </row>
    <row r="88" ht="15" customHeight="1" spans="1:15">
      <c r="A88" s="400"/>
      <c r="B88" s="400"/>
      <c r="C88" s="400"/>
      <c r="D88" s="400"/>
      <c r="E88" s="400"/>
      <c r="F88" s="400"/>
      <c r="G88" s="400"/>
      <c r="H88" s="400"/>
      <c r="I88" s="400"/>
      <c r="J88" s="400"/>
      <c r="K88" s="400"/>
      <c r="L88" s="400"/>
      <c r="M88" s="400"/>
      <c r="N88" s="400"/>
      <c r="O88" s="400"/>
    </row>
    <row r="89" ht="15" customHeight="1" spans="1:15">
      <c r="A89" s="400"/>
      <c r="B89" s="405" t="s">
        <v>225</v>
      </c>
      <c r="C89" s="405"/>
      <c r="D89" s="406">
        <f>D85+D86+D87</f>
        <v>17472</v>
      </c>
      <c r="E89" s="406">
        <f>E85+E86+E87</f>
        <v>12173</v>
      </c>
      <c r="F89" s="406">
        <f>F85+F86+F87</f>
        <v>14786</v>
      </c>
      <c r="G89" s="406">
        <f>G85+G86+G87</f>
        <v>24455</v>
      </c>
      <c r="H89" s="406">
        <f>H85+H86+H87</f>
        <v>22201</v>
      </c>
      <c r="I89" s="400"/>
      <c r="J89" s="400"/>
      <c r="K89" s="400"/>
      <c r="L89" s="400"/>
      <c r="M89" s="400"/>
      <c r="N89" s="400"/>
      <c r="O89" s="400"/>
    </row>
    <row r="90" ht="15" customHeight="1" spans="1:15">
      <c r="A90" s="400"/>
      <c r="B90" s="400"/>
      <c r="C90" s="400"/>
      <c r="D90" s="400"/>
      <c r="E90" s="400"/>
      <c r="F90" s="400"/>
      <c r="G90" s="400"/>
      <c r="H90" s="400"/>
      <c r="I90" s="400"/>
      <c r="J90" s="400"/>
      <c r="K90" s="400"/>
      <c r="L90" s="400"/>
      <c r="M90" s="400"/>
      <c r="N90" s="400"/>
      <c r="O90" s="400"/>
    </row>
    <row r="91" ht="15" customHeight="1" spans="1:15">
      <c r="A91" s="400"/>
      <c r="B91" s="400"/>
      <c r="C91" s="1"/>
      <c r="D91" s="400"/>
      <c r="E91" s="400"/>
      <c r="F91" s="400"/>
      <c r="G91" s="400"/>
      <c r="H91" s="400"/>
      <c r="I91" s="400"/>
      <c r="J91" s="400"/>
      <c r="K91" s="400"/>
      <c r="L91" s="400"/>
      <c r="M91" s="400"/>
      <c r="N91" s="400"/>
      <c r="O91" s="400"/>
    </row>
    <row r="92" ht="15" customHeight="1" spans="1:15">
      <c r="A92" s="400"/>
      <c r="B92" s="400"/>
      <c r="D92" s="402"/>
      <c r="E92" s="402"/>
      <c r="F92" s="402"/>
      <c r="G92" s="402"/>
      <c r="H92" s="402"/>
      <c r="I92" s="400"/>
      <c r="J92" s="400"/>
      <c r="K92" s="400"/>
      <c r="L92" s="400"/>
      <c r="M92" s="400"/>
      <c r="N92" s="400"/>
      <c r="O92" s="400"/>
    </row>
    <row r="93" ht="14.25" customHeight="1" spans="1:15">
      <c r="A93" s="400"/>
      <c r="B93" s="400"/>
      <c r="C93" s="400"/>
      <c r="D93" s="400"/>
      <c r="E93" s="400"/>
      <c r="F93" s="400"/>
      <c r="G93" s="400"/>
      <c r="H93" s="400"/>
      <c r="I93" s="400"/>
      <c r="J93" s="400"/>
      <c r="K93" s="400"/>
      <c r="L93" s="400"/>
      <c r="M93" s="400"/>
      <c r="N93" s="400"/>
      <c r="O93" s="400"/>
    </row>
    <row r="94" ht="13.5" customHeight="1" spans="1:15">
      <c r="A94" s="400"/>
      <c r="B94" s="400"/>
      <c r="C94" s="400"/>
      <c r="D94" s="400"/>
      <c r="E94" s="400"/>
      <c r="F94" s="400"/>
      <c r="G94" s="400"/>
      <c r="H94" s="400"/>
      <c r="I94" s="400"/>
      <c r="J94" s="400"/>
      <c r="K94" s="400"/>
      <c r="L94" s="400"/>
      <c r="M94" s="400"/>
      <c r="N94" s="400"/>
      <c r="O94" s="400"/>
    </row>
    <row r="95" ht="14.25" customHeight="1" spans="1:15">
      <c r="A95" s="400"/>
      <c r="B95" s="400"/>
      <c r="C95" s="400"/>
      <c r="D95" s="400"/>
      <c r="E95" s="400"/>
      <c r="F95" s="400"/>
      <c r="G95" s="400"/>
      <c r="H95" s="400"/>
      <c r="I95" s="400"/>
      <c r="J95" s="400"/>
      <c r="K95" s="400"/>
      <c r="L95" s="400"/>
      <c r="M95" s="400"/>
      <c r="N95" s="400"/>
      <c r="O95" s="400"/>
    </row>
    <row r="96" ht="13.5" customHeight="1" spans="1:15">
      <c r="A96" s="400"/>
      <c r="B96" s="400"/>
      <c r="C96" s="400"/>
      <c r="D96" s="400"/>
      <c r="E96" s="400"/>
      <c r="F96" s="400"/>
      <c r="G96" s="400"/>
      <c r="H96" s="400"/>
      <c r="I96" s="400"/>
      <c r="J96" s="400"/>
      <c r="K96" s="400"/>
      <c r="L96" s="400"/>
      <c r="M96" s="400"/>
      <c r="N96" s="400"/>
      <c r="O96" s="400"/>
    </row>
    <row r="97" ht="13.5" customHeight="1" spans="1:15">
      <c r="A97" s="400"/>
      <c r="B97" s="400"/>
      <c r="C97" s="400"/>
      <c r="D97" s="400"/>
      <c r="E97" s="400"/>
      <c r="F97" s="400"/>
      <c r="G97" s="400"/>
      <c r="H97" s="400"/>
      <c r="I97" s="400"/>
      <c r="J97" s="400"/>
      <c r="K97" s="400"/>
      <c r="L97" s="400"/>
      <c r="M97" s="400"/>
      <c r="N97" s="400"/>
      <c r="O97" s="400"/>
    </row>
    <row r="98" ht="13.5" customHeight="1" spans="1:15">
      <c r="A98" s="400"/>
      <c r="B98" s="400"/>
      <c r="C98" s="400"/>
      <c r="D98" s="400"/>
      <c r="E98" s="400"/>
      <c r="F98" s="400"/>
      <c r="G98" s="400"/>
      <c r="H98" s="400"/>
      <c r="I98" s="400"/>
      <c r="J98" s="400"/>
      <c r="K98" s="400"/>
      <c r="L98" s="400"/>
      <c r="M98" s="400"/>
      <c r="N98" s="400"/>
      <c r="O98" s="400"/>
    </row>
    <row r="99" ht="13.5" customHeight="1" spans="1:15">
      <c r="A99" s="400"/>
      <c r="B99" s="400"/>
      <c r="C99" s="400"/>
      <c r="D99" s="400"/>
      <c r="E99" s="400"/>
      <c r="F99" s="400"/>
      <c r="G99" s="400"/>
      <c r="H99" s="400"/>
      <c r="I99" s="400"/>
      <c r="J99" s="400"/>
      <c r="K99" s="400"/>
      <c r="L99" s="400"/>
      <c r="M99" s="400"/>
      <c r="N99" s="400"/>
      <c r="O99" s="400"/>
    </row>
    <row r="100" ht="13.5" customHeight="1" spans="1:15">
      <c r="A100" s="400"/>
      <c r="B100" s="400"/>
      <c r="C100" s="400"/>
      <c r="D100" s="400"/>
      <c r="E100" s="400"/>
      <c r="F100" s="400"/>
      <c r="G100" s="400"/>
      <c r="H100" s="400"/>
      <c r="I100" s="400"/>
      <c r="J100" s="400"/>
      <c r="K100" s="400"/>
      <c r="L100" s="400"/>
      <c r="M100" s="400"/>
      <c r="N100" s="400"/>
      <c r="O100" s="400"/>
    </row>
  </sheetData>
  <mergeCells count="14">
    <mergeCell ref="G6:H6"/>
    <mergeCell ref="B7:H7"/>
    <mergeCell ref="B11:H11"/>
    <mergeCell ref="B25:H25"/>
    <mergeCell ref="B31:C31"/>
    <mergeCell ref="B34:C34"/>
    <mergeCell ref="B36:H36"/>
    <mergeCell ref="B69:C69"/>
    <mergeCell ref="B71:H71"/>
    <mergeCell ref="B83:C83"/>
    <mergeCell ref="B85:C85"/>
    <mergeCell ref="B89:C89"/>
    <mergeCell ref="B2:D4"/>
    <mergeCell ref="B8:C9"/>
  </mergeCells>
  <pageMargins left="0.7" right="0.7" top="0.75" bottom="0.75" header="0.511811023622047" footer="0.511811023622047"/>
  <pageSetup paperSize="1"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AC090"/>
  </sheetPr>
  <dimension ref="B2:I86"/>
  <sheetViews>
    <sheetView showGridLines="0" zoomScale="107" zoomScaleNormal="107" topLeftCell="A34" workbookViewId="0">
      <selection activeCell="B8" sqref="B8:C9"/>
    </sheetView>
  </sheetViews>
  <sheetFormatPr defaultColWidth="22.1759259259259" defaultRowHeight="13.8"/>
  <cols>
    <col min="1" max="1" width="5.83333333333333" style="3" customWidth="1"/>
    <col min="2" max="2" width="2.5" style="3" customWidth="1"/>
    <col min="3" max="3" width="31.5" style="3" customWidth="1"/>
    <col min="4" max="5" width="9" style="3" customWidth="1"/>
    <col min="6" max="8" width="11.3333333333333" style="3" customWidth="1"/>
    <col min="9" max="16384" width="22.1666666666667" style="3"/>
  </cols>
  <sheetData>
    <row r="2" ht="13.5" customHeight="1" spans="2:8">
      <c r="B2" s="173" t="s">
        <v>21</v>
      </c>
      <c r="C2" s="173"/>
      <c r="D2" s="173"/>
    </row>
    <row r="3" ht="13.5" customHeight="1" spans="2:8">
      <c r="B3" s="173"/>
      <c r="C3" s="173"/>
      <c r="D3" s="173"/>
    </row>
    <row r="4" ht="13.5" customHeight="1" spans="2:8">
      <c r="B4" s="173"/>
      <c r="C4" s="173"/>
      <c r="D4" s="173"/>
    </row>
    <row r="6" ht="13.5" customHeight="1" spans="2:8">
      <c r="C6" s="210"/>
      <c r="D6" s="210"/>
      <c r="G6" s="5"/>
      <c r="H6" s="5"/>
    </row>
    <row r="7" ht="13.5" customHeight="1" spans="2:8">
      <c r="B7" s="387" t="s">
        <v>9</v>
      </c>
      <c r="C7" s="387"/>
      <c r="D7" s="387"/>
      <c r="E7" s="387"/>
      <c r="F7" s="387"/>
      <c r="G7" s="387"/>
      <c r="H7" s="387"/>
    </row>
    <row r="8" ht="14.25" customHeight="1" spans="2:8">
      <c r="B8" s="175" t="s">
        <v>39</v>
      </c>
      <c r="C8" s="175"/>
      <c r="D8" s="9">
        <f>'BS Input'!D7</f>
        <v>2022</v>
      </c>
      <c r="E8" s="9">
        <f>'BS Input'!E7</f>
        <v>2023</v>
      </c>
      <c r="F8" s="9">
        <f>'BS Input'!F7</f>
        <v>2024</v>
      </c>
      <c r="G8" s="9">
        <f>'BS Input'!G7</f>
        <v>2025</v>
      </c>
      <c r="H8" s="9">
        <f>'BS Input'!H7</f>
        <v>2026</v>
      </c>
    </row>
    <row r="9" ht="13.5" customHeight="1" spans="2:8">
      <c r="B9" s="175"/>
      <c r="C9" s="175"/>
      <c r="D9" s="11" t="s">
        <v>84</v>
      </c>
      <c r="E9" s="11" t="s">
        <v>84</v>
      </c>
      <c r="F9" s="11" t="s">
        <v>84</v>
      </c>
      <c r="G9" s="11" t="s">
        <v>84</v>
      </c>
      <c r="H9" s="11" t="s">
        <v>84</v>
      </c>
    </row>
    <row r="10" ht="13.5" customHeight="1" spans="2:8">
      <c r="C10" s="283"/>
      <c r="D10" s="283"/>
      <c r="E10" s="234"/>
      <c r="F10" s="234"/>
      <c r="G10" s="234"/>
      <c r="H10" s="234"/>
    </row>
    <row r="11" ht="14.25" customHeight="1" spans="2:8">
      <c r="C11" s="388" t="s">
        <v>85</v>
      </c>
      <c r="D11" s="366">
        <f>'P&amp;L Input'!C11/'P&amp;L Input'!C$14</f>
        <v>0.981482378001549</v>
      </c>
      <c r="E11" s="366">
        <f>'P&amp;L Input'!D11/'P&amp;L Input'!D$14</f>
        <v>0.98192924237964</v>
      </c>
      <c r="F11" s="366">
        <f>'P&amp;L Input'!E11/'P&amp;L Input'!E$14</f>
        <v>0.97025527051856</v>
      </c>
      <c r="G11" s="366">
        <f>'P&amp;L Input'!F11/'P&amp;L Input'!F$14</f>
        <v>0.978390059427337</v>
      </c>
      <c r="H11" s="366">
        <f>'P&amp;L Input'!G11/'P&amp;L Input'!G$14</f>
        <v>0.976378899503749</v>
      </c>
    </row>
    <row r="12" ht="14.25" customHeight="1" spans="2:8">
      <c r="C12" s="388" t="s">
        <v>226</v>
      </c>
      <c r="D12" s="366">
        <f>'P&amp;L Input'!C12/'P&amp;L Input'!C$14</f>
        <v>0.0185176219984508</v>
      </c>
      <c r="E12" s="366">
        <f>'P&amp;L Input'!D12/'P&amp;L Input'!D$14</f>
        <v>0.0180707576203602</v>
      </c>
      <c r="F12" s="366">
        <f>'P&amp;L Input'!E12/'P&amp;L Input'!E$14</f>
        <v>0.0297447294814403</v>
      </c>
      <c r="G12" s="366">
        <f>'P&amp;L Input'!F12/'P&amp;L Input'!F$14</f>
        <v>0.0216099405726634</v>
      </c>
      <c r="H12" s="366">
        <f>'P&amp;L Input'!G12/'P&amp;L Input'!G$14</f>
        <v>0.0236211004962508</v>
      </c>
    </row>
    <row r="13" ht="13.5" customHeight="1" spans="2:8">
      <c r="C13" s="388"/>
      <c r="D13" s="14"/>
      <c r="E13" s="14"/>
      <c r="F13" s="14"/>
      <c r="G13" s="14"/>
      <c r="H13" s="14"/>
    </row>
    <row r="14" ht="14.25" customHeight="1" spans="2:8">
      <c r="B14" s="389" t="s">
        <v>87</v>
      </c>
      <c r="C14" s="389"/>
      <c r="D14" s="390">
        <f>'P&amp;L Input'!C14/'P&amp;L Input'!C$14</f>
        <v>1</v>
      </c>
      <c r="E14" s="390">
        <f>'P&amp;L Input'!D14/'P&amp;L Input'!D$14</f>
        <v>1</v>
      </c>
      <c r="F14" s="390">
        <f>'P&amp;L Input'!E14/'P&amp;L Input'!E$14</f>
        <v>1</v>
      </c>
      <c r="G14" s="390">
        <f>'P&amp;L Input'!F14/'P&amp;L Input'!F$14</f>
        <v>1</v>
      </c>
      <c r="H14" s="390">
        <f>'P&amp;L Input'!G14/'P&amp;L Input'!G$14</f>
        <v>1</v>
      </c>
    </row>
    <row r="15" ht="13.5" customHeight="1" spans="2:8">
      <c r="C15" s="388"/>
      <c r="D15" s="14"/>
      <c r="E15" s="14"/>
      <c r="F15" s="14"/>
      <c r="G15" s="14"/>
      <c r="H15" s="14"/>
    </row>
    <row r="16" ht="14.25" customHeight="1" spans="2:8">
      <c r="C16" s="391" t="s">
        <v>88</v>
      </c>
      <c r="D16" s="57"/>
      <c r="E16" s="57"/>
      <c r="F16" s="57"/>
      <c r="G16" s="57"/>
      <c r="H16" s="57"/>
    </row>
    <row r="17" ht="14.25" customHeight="1" spans="2:9">
      <c r="C17" s="388" t="s">
        <v>227</v>
      </c>
      <c r="D17" s="366">
        <f>'P&amp;L Input'!C17/'P&amp;L Input'!C$14</f>
        <v>0.516282597469662</v>
      </c>
      <c r="E17" s="366">
        <f>'P&amp;L Input'!D17/'P&amp;L Input'!D$14</f>
        <v>0.524252682848503</v>
      </c>
      <c r="F17" s="366">
        <f>'P&amp;L Input'!E17/'P&amp;L Input'!E$14</f>
        <v>0.521653481162513</v>
      </c>
      <c r="G17" s="366">
        <f>'P&amp;L Input'!F17/'P&amp;L Input'!F$14</f>
        <v>0.515937331172339</v>
      </c>
      <c r="H17" s="366">
        <f>'P&amp;L Input'!G17/'P&amp;L Input'!G$14</f>
        <v>0.519718864088494</v>
      </c>
    </row>
    <row r="18" ht="14.25" customHeight="1" spans="2:9">
      <c r="C18" s="388" t="s">
        <v>95</v>
      </c>
      <c r="D18" s="366">
        <f>'P&amp;L Input'!C18/'P&amp;L Input'!C$14</f>
        <v>0.101713787761425</v>
      </c>
      <c r="E18" s="366">
        <f>'P&amp;L Input'!D18/'P&amp;L Input'!D$14</f>
        <v>0.0940803382663848</v>
      </c>
      <c r="F18" s="366">
        <f>'P&amp;L Input'!E18/'P&amp;L Input'!E$14</f>
        <v>0.0772314860999741</v>
      </c>
      <c r="G18" s="366">
        <f>'P&amp;L Input'!F18/'P&amp;L Input'!F$14</f>
        <v>0.0776577225523741</v>
      </c>
      <c r="H18" s="366">
        <f>'P&amp;L Input'!G18/'P&amp;L Input'!G$14</f>
        <v>0.084280654963601</v>
      </c>
    </row>
    <row r="19" ht="13.5" customHeight="1" spans="2:9">
      <c r="C19" s="388"/>
      <c r="D19" s="14"/>
      <c r="E19" s="14"/>
      <c r="F19" s="14"/>
      <c r="G19" s="14"/>
      <c r="H19" s="14"/>
    </row>
    <row r="20" ht="14.25" customHeight="1" spans="2:9">
      <c r="B20" s="389" t="s">
        <v>96</v>
      </c>
      <c r="C20" s="389"/>
      <c r="D20" s="390">
        <f>'P&amp;L Input'!C20/'P&amp;L Input'!C$14</f>
        <v>0.0549557836302608</v>
      </c>
      <c r="E20" s="390">
        <f>'P&amp;L Input'!D20/'P&amp;L Input'!D$14</f>
        <v>0.072938689217759</v>
      </c>
      <c r="F20" s="390">
        <f>'P&amp;L Input'!E20/'P&amp;L Input'!E$14</f>
        <v>0.0853322052518926</v>
      </c>
      <c r="G20" s="390">
        <f>'P&amp;L Input'!F20/'P&amp;L Input'!F$14</f>
        <v>0.0955099345699022</v>
      </c>
      <c r="H20" s="390">
        <f>'P&amp;L Input'!G20/'P&amp;L Input'!G$14</f>
        <v>0.0859257154100081</v>
      </c>
    </row>
    <row r="21" ht="13.5" customHeight="1" spans="2:9">
      <c r="C21" s="388"/>
      <c r="D21" s="14"/>
      <c r="E21" s="14"/>
      <c r="F21" s="14"/>
      <c r="G21" s="14"/>
      <c r="H21" s="14"/>
    </row>
    <row r="22" ht="14.25" customHeight="1" spans="2:9">
      <c r="C22" s="391" t="s">
        <v>97</v>
      </c>
      <c r="D22" s="366">
        <f>'P&amp;L Input'!C22/'P&amp;L Input'!C$14</f>
        <v>0.0152094629486186</v>
      </c>
      <c r="E22" s="366">
        <f>'P&amp;L Input'!D22/'P&amp;L Input'!D$14</f>
        <v>0.0112666256322424</v>
      </c>
      <c r="F22" s="366">
        <f>'P&amp;L Input'!E22/'P&amp;L Input'!E$14</f>
        <v>0.0108977718286916</v>
      </c>
      <c r="G22" s="366">
        <f>'P&amp;L Input'!F22/'P&amp;L Input'!F$14</f>
        <v>0.00993456990215499</v>
      </c>
      <c r="H22" s="366">
        <f>'P&amp;L Input'!G22/'P&amp;L Input'!G$14</f>
        <v>0.0114225127341888</v>
      </c>
    </row>
    <row r="23" ht="14.25" customHeight="1" spans="2:9">
      <c r="C23" s="388" t="s">
        <v>228</v>
      </c>
      <c r="D23" s="366">
        <f>'P&amp;L Input'!C24/'P&amp;L Input'!C$14</f>
        <v>0.72739155693261</v>
      </c>
      <c r="E23" s="366">
        <f>'P&amp;L Input'!D24/'P&amp;L Input'!D$14</f>
        <v>0.746895656595392</v>
      </c>
      <c r="F23" s="366">
        <f>'P&amp;L Input'!E24/'P&amp;L Input'!E$14</f>
        <v>0.740271876045738</v>
      </c>
      <c r="G23" s="366">
        <f>'P&amp;L Input'!F24/'P&amp;L Input'!F$14</f>
        <v>0.742865718230386</v>
      </c>
      <c r="H23" s="366">
        <f>'P&amp;L Input'!G24/'P&amp;L Input'!G$14</f>
        <v>0.745305292613077</v>
      </c>
      <c r="I23" s="22"/>
    </row>
    <row r="24" ht="14.25" customHeight="1" spans="2:9">
      <c r="C24" s="391" t="s">
        <v>99</v>
      </c>
      <c r="D24" s="366">
        <f>'P&amp;L Input'!C26/'P&amp;L Input'!C$14</f>
        <v>0.27260844306739</v>
      </c>
      <c r="E24" s="366">
        <f>'P&amp;L Input'!D26/'P&amp;L Input'!D$14</f>
        <v>0.253104343404608</v>
      </c>
      <c r="F24" s="366">
        <f>'P&amp;L Input'!E26/'P&amp;L Input'!E$14</f>
        <v>0.259728123954262</v>
      </c>
      <c r="G24" s="366">
        <f>'P&amp;L Input'!F26/'P&amp;L Input'!F$14</f>
        <v>0.257134281769614</v>
      </c>
      <c r="H24" s="366">
        <f>'P&amp;L Input'!G26/'P&amp;L Input'!G$14</f>
        <v>0.254694707386923</v>
      </c>
    </row>
    <row r="25" ht="14.25" customHeight="1" spans="2:9">
      <c r="C25" s="388" t="s">
        <v>229</v>
      </c>
      <c r="D25" s="366">
        <f>'P&amp;L Input'!C28/'P&amp;L Input'!C$14</f>
        <v>0.0280467337980893</v>
      </c>
      <c r="E25" s="366">
        <f>'P&amp;L Input'!D28/'P&amp;L Input'!D$14</f>
        <v>0.0282669200096342</v>
      </c>
      <c r="F25" s="366">
        <f>'P&amp;L Input'!E28/'P&amp;L Input'!E$14</f>
        <v>0.029536371155631</v>
      </c>
      <c r="G25" s="366">
        <f>'P&amp;L Input'!F28/'P&amp;L Input'!F$14</f>
        <v>0.0288852872321268</v>
      </c>
      <c r="H25" s="366">
        <f>'P&amp;L Input'!G28/'P&amp;L Input'!G$14</f>
        <v>0.0267909844129156</v>
      </c>
    </row>
    <row r="26" ht="14.25" customHeight="1" spans="2:9">
      <c r="C26" s="388" t="s">
        <v>100</v>
      </c>
      <c r="D26" s="366">
        <f>'P&amp;L Input'!C30/'P&amp;L Input'!C$14</f>
        <v>0.2445617092693</v>
      </c>
      <c r="E26" s="366">
        <f>'P&amp;L Input'!D30/'P&amp;L Input'!D$14</f>
        <v>0.224837423394974</v>
      </c>
      <c r="F26" s="366">
        <f>'P&amp;L Input'!E30/'P&amp;L Input'!E$14</f>
        <v>0.230191752798631</v>
      </c>
      <c r="G26" s="366">
        <f>'P&amp;L Input'!F30/'P&amp;L Input'!F$14</f>
        <v>0.228248994537487</v>
      </c>
      <c r="H26" s="366">
        <f>'P&amp;L Input'!G30/'P&amp;L Input'!G$14</f>
        <v>0.227903722974007</v>
      </c>
    </row>
    <row r="27" s="241" customFormat="1" ht="15" customHeight="1" spans="2:9">
      <c r="C27" s="392"/>
      <c r="D27" s="393"/>
      <c r="E27" s="393"/>
      <c r="F27" s="393"/>
      <c r="G27" s="393"/>
      <c r="H27" s="393"/>
    </row>
    <row r="28" ht="14.25" customHeight="1" spans="2:9">
      <c r="C28" s="391" t="s">
        <v>103</v>
      </c>
      <c r="D28" s="366"/>
      <c r="E28" s="366"/>
      <c r="F28" s="366"/>
      <c r="G28" s="366"/>
      <c r="H28" s="366"/>
    </row>
    <row r="29" ht="14.25" customHeight="1" spans="2:9">
      <c r="C29" s="388" t="s">
        <v>230</v>
      </c>
      <c r="D29" s="366">
        <f>'P&amp;L Input'!C40/'P&amp;L Input'!C$14</f>
        <v>0.0642589723728376</v>
      </c>
      <c r="E29" s="366">
        <f>'P&amp;L Input'!D40/'P&amp;L Input'!D$14</f>
        <v>0.0616453020044424</v>
      </c>
      <c r="F29" s="366">
        <f>'P&amp;L Input'!E40/'P&amp;L Input'!E$14</f>
        <v>0.0614972755570428</v>
      </c>
      <c r="G29" s="366">
        <f>'P&amp;L Input'!F40/'P&amp;L Input'!F$14</f>
        <v>0.065177981871661</v>
      </c>
      <c r="H29" s="366">
        <f>'P&amp;L Input'!G40/'P&amp;L Input'!G$14</f>
        <v>0.0575006011848807</v>
      </c>
    </row>
    <row r="30" ht="14.25" customHeight="1" spans="2:9">
      <c r="B30" s="389" t="s">
        <v>105</v>
      </c>
      <c r="C30" s="389"/>
      <c r="D30" s="390">
        <f>'P&amp;L Input'!C42/'P&amp;L Input'!C$14</f>
        <v>0.178689000774593</v>
      </c>
      <c r="E30" s="390">
        <f>'P&amp;L Input'!D42/'P&amp;L Input'!D$14</f>
        <v>0.161292049134263</v>
      </c>
      <c r="F30" s="390">
        <f>'P&amp;L Input'!E42/'P&amp;L Input'!E$14</f>
        <v>0.165726949570971</v>
      </c>
      <c r="G30" s="390">
        <f>'P&amp;L Input'!F42/'P&amp;L Input'!F$14</f>
        <v>0.16057386397743</v>
      </c>
      <c r="H30" s="390">
        <f>'P&amp;L Input'!G42/'P&amp;L Input'!G$14</f>
        <v>0.161084756137551</v>
      </c>
    </row>
    <row r="31" ht="14.25" customHeight="1" spans="2:9">
      <c r="B31" s="394"/>
      <c r="C31" s="394"/>
      <c r="D31" s="395"/>
      <c r="E31" s="395"/>
      <c r="F31" s="395"/>
      <c r="G31" s="395"/>
      <c r="H31" s="395"/>
    </row>
    <row r="32" ht="14.25" customHeight="1" spans="2:9">
      <c r="B32" s="394"/>
      <c r="C32" s="394"/>
      <c r="D32" s="395"/>
      <c r="E32" s="395"/>
      <c r="F32" s="395"/>
      <c r="G32" s="395"/>
      <c r="H32" s="395"/>
    </row>
    <row r="34" ht="13.5" customHeight="1" spans="2:9">
      <c r="B34" s="29" t="s">
        <v>117</v>
      </c>
      <c r="C34" s="29"/>
      <c r="E34" s="1"/>
      <c r="F34" s="1"/>
      <c r="G34" s="1"/>
      <c r="H34" s="1"/>
    </row>
    <row r="36" ht="13.5" customHeight="1" spans="2:9">
      <c r="B36" s="1" t="s">
        <v>118</v>
      </c>
      <c r="C36" s="1"/>
      <c r="D36" s="1"/>
      <c r="E36" s="1"/>
      <c r="F36" s="1"/>
      <c r="G36" s="1"/>
      <c r="H36" s="1"/>
    </row>
    <row r="37" ht="13.5" customHeight="1" spans="2:9">
      <c r="C37" s="3" t="s">
        <v>119</v>
      </c>
      <c r="D37" s="366">
        <f>'BS Input'!D12/'BS Input'!D$39</f>
        <v>0.110913178097298</v>
      </c>
      <c r="E37" s="366">
        <f>'BS Input'!E12/'BS Input'!E$39</f>
        <v>0.106075538882177</v>
      </c>
      <c r="F37" s="366">
        <f>'BS Input'!F12/'BS Input'!F$39</f>
        <v>0.0897586602231994</v>
      </c>
      <c r="G37" s="366">
        <f>'BS Input'!G12/'BS Input'!G$39</f>
        <v>0.0790984735028844</v>
      </c>
      <c r="H37" s="366">
        <f>'BS Input'!H12/'BS Input'!H$39</f>
        <v>0.0811133124314759</v>
      </c>
    </row>
    <row r="38" ht="13.5" customHeight="1" spans="2:9">
      <c r="C38" s="3" t="s">
        <v>120</v>
      </c>
      <c r="D38" s="366">
        <f>'BS Input'!D13/'BS Input'!D$39</f>
        <v>0.0409127539551258</v>
      </c>
      <c r="E38" s="366">
        <f>'BS Input'!E13/'BS Input'!E$39</f>
        <v>0.0546989254148916</v>
      </c>
      <c r="F38" s="366">
        <f>'BS Input'!F13/'BS Input'!F$39</f>
        <v>0.0475423396752144</v>
      </c>
      <c r="G38" s="366">
        <f>'BS Input'!G13/'BS Input'!G$39</f>
        <v>0.0423832965084652</v>
      </c>
      <c r="H38" s="366">
        <f>'BS Input'!H13/'BS Input'!H$39</f>
        <v>0.0396045317278655</v>
      </c>
    </row>
    <row r="39" ht="13.5" customHeight="1" spans="2:9">
      <c r="C39" s="3" t="s">
        <v>121</v>
      </c>
      <c r="D39" s="366">
        <f>'BS Input'!D14/'BS Input'!D$39</f>
        <v>0.00352886287483564</v>
      </c>
      <c r="E39" s="366">
        <f>'BS Input'!E14/'BS Input'!E$39</f>
        <v>0.00228905703567114</v>
      </c>
      <c r="F39" s="366">
        <f>'BS Input'!F14/'BS Input'!F$39</f>
        <v>0.00212605395678233</v>
      </c>
      <c r="G39" s="366">
        <f>'BS Input'!G14/'BS Input'!G$39</f>
        <v>0.00546664607160366</v>
      </c>
      <c r="H39" s="366">
        <f>'BS Input'!H14/'BS Input'!H$39</f>
        <v>0.00337250828700943</v>
      </c>
    </row>
    <row r="40" ht="13.5" customHeight="1" spans="2:9">
      <c r="C40" s="3" t="s">
        <v>122</v>
      </c>
      <c r="D40" s="366">
        <f>'BS Input'!D15/'BS Input'!D$39</f>
        <v>0.0525512151673241</v>
      </c>
      <c r="E40" s="366">
        <f>'BS Input'!E15/'BS Input'!E$39</f>
        <v>0.0576079353977237</v>
      </c>
      <c r="F40" s="366">
        <f>'BS Input'!F15/'BS Input'!F$39</f>
        <v>0.0529917134688783</v>
      </c>
      <c r="G40" s="366">
        <f>'BS Input'!G15/'BS Input'!G$39</f>
        <v>0.0678696869774283</v>
      </c>
      <c r="H40" s="366">
        <f>'BS Input'!H15/'BS Input'!H$39</f>
        <v>0.0776895112427629</v>
      </c>
    </row>
    <row r="41" ht="13.5" customHeight="1" spans="2:9">
      <c r="C41" s="3" t="s">
        <v>123</v>
      </c>
      <c r="D41" s="366">
        <f>'BS Input'!D16/'BS Input'!D$39</f>
        <v>0.0144802137676549</v>
      </c>
      <c r="E41" s="366">
        <f>'BS Input'!E16/'BS Input'!E$39</f>
        <v>0.0139012526228779</v>
      </c>
      <c r="F41" s="366">
        <f>'BS Input'!F16/'BS Input'!F$39</f>
        <v>0.0101368511181738</v>
      </c>
      <c r="G41" s="366">
        <f>'BS Input'!G16/'BS Input'!G$39</f>
        <v>0.0185758513931889</v>
      </c>
      <c r="H41" s="366">
        <f>'BS Input'!H16/'BS Input'!H$39</f>
        <v>0.0181128059140716</v>
      </c>
    </row>
    <row r="42" ht="13.5" customHeight="1" spans="2:9">
      <c r="C42" s="396" t="s">
        <v>124</v>
      </c>
      <c r="D42" s="366"/>
      <c r="E42" s="366"/>
      <c r="F42" s="366"/>
      <c r="G42" s="366"/>
      <c r="H42" s="366"/>
      <c r="I42" s="396"/>
    </row>
    <row r="43" ht="13.5" customHeight="1" spans="2:9">
      <c r="C43" s="397" t="s">
        <v>125</v>
      </c>
      <c r="D43" s="366">
        <f>'BS Input'!D18/'BS Input'!D$39</f>
        <v>0.115799295923994</v>
      </c>
      <c r="E43" s="366">
        <f>'BS Input'!E18/'BS Input'!E$39</f>
        <v>0.0998998537546894</v>
      </c>
      <c r="F43" s="366">
        <f>'BS Input'!F18/'BS Input'!F$39</f>
        <v>0.0849550843891042</v>
      </c>
      <c r="G43" s="366">
        <f>'BS Input'!G18/'BS Input'!G$39</f>
        <v>0.0742698266656817</v>
      </c>
      <c r="H43" s="366">
        <f>'BS Input'!H18/'BS Input'!H$39</f>
        <v>0.057255701526605</v>
      </c>
      <c r="I43" s="397"/>
    </row>
    <row r="44" ht="13.5" customHeight="1" spans="2:9">
      <c r="C44" s="397" t="s">
        <v>127</v>
      </c>
      <c r="D44" s="366">
        <f>'BS Input'!D20/'BS Input'!D$39</f>
        <v>0.0123849514357213</v>
      </c>
      <c r="E44" s="366">
        <f>'BS Input'!E20/'BS Input'!E$39</f>
        <v>0.0222388249507217</v>
      </c>
      <c r="F44" s="366">
        <f>'BS Input'!F20/'BS Input'!F$39</f>
        <v>0.0225303670164134</v>
      </c>
      <c r="G44" s="366">
        <f>'BS Input'!G20/'BS Input'!G$39</f>
        <v>0.023579108547175</v>
      </c>
      <c r="H44" s="366">
        <f>'BS Input'!H20/'BS Input'!H$39</f>
        <v>0.0177986368911372</v>
      </c>
      <c r="I44" s="397"/>
    </row>
    <row r="45" ht="13.5" customHeight="1" spans="2:9">
      <c r="C45" s="397" t="s">
        <v>128</v>
      </c>
      <c r="D45" s="366">
        <f>'BS Input'!D21/'BS Input'!D$39</f>
        <v>0.0102812062603385</v>
      </c>
      <c r="E45" s="366">
        <f>'BS Input'!E21/'BS Input'!E$39</f>
        <v>0.00989540281045336</v>
      </c>
      <c r="F45" s="366">
        <f>'BS Input'!F21/'BS Input'!F$39</f>
        <v>0.00329429520948525</v>
      </c>
      <c r="G45" s="366">
        <f>'BS Input'!G21/'BS Input'!G$39</f>
        <v>0.00744108580753914</v>
      </c>
      <c r="H45" s="366">
        <f>'BS Input'!H21/'BS Input'!H$39</f>
        <v>0.014515891182109</v>
      </c>
      <c r="I45" s="397"/>
    </row>
    <row r="46" ht="13.5" customHeight="1" spans="2:9">
      <c r="C46" s="3" t="s">
        <v>129</v>
      </c>
      <c r="D46" s="366">
        <f>'BS Input'!D22/'BS Input'!D$39</f>
        <v>0.051728379352759</v>
      </c>
      <c r="E46" s="366">
        <f>'BS Input'!E22/'BS Input'!E$39</f>
        <v>0.0512891842055065</v>
      </c>
      <c r="F46" s="366">
        <f>'BS Input'!F22/'BS Input'!F$39</f>
        <v>0.0220949976054682</v>
      </c>
      <c r="G46" s="366">
        <f>'BS Input'!G22/'BS Input'!G$39</f>
        <v>0.0108929974547188</v>
      </c>
      <c r="H46" s="366">
        <f>'BS Input'!H22/'BS Input'!H$39</f>
        <v>0.00427013406682183</v>
      </c>
    </row>
    <row r="47" ht="13.5" customHeight="1" spans="2:9">
      <c r="C47" s="3" t="s">
        <v>130</v>
      </c>
      <c r="D47" s="366">
        <f>'BS Input'!D23/'BS Input'!D$39</f>
        <v>0.0172116893582729</v>
      </c>
      <c r="E47" s="366">
        <f>'BS Input'!E23/'BS Input'!E$39</f>
        <v>0.0184237298912698</v>
      </c>
      <c r="F47" s="366">
        <f>'BS Input'!F23/'BS Input'!F$39</f>
        <v>0.0153903086769124</v>
      </c>
      <c r="G47" s="366">
        <f>'BS Input'!G23/'BS Input'!G$39</f>
        <v>0.0182199149782073</v>
      </c>
      <c r="H47" s="366">
        <f>'BS Input'!H23/'BS Input'!H$39</f>
        <v>0.0226971090038277</v>
      </c>
    </row>
    <row r="48" ht="13.5" customHeight="1" spans="2:9">
      <c r="D48" s="366"/>
      <c r="E48" s="366"/>
      <c r="F48" s="366"/>
      <c r="G48" s="366"/>
      <c r="H48" s="366"/>
    </row>
    <row r="49" ht="13.5" customHeight="1" spans="2:9">
      <c r="B49" s="1" t="s">
        <v>132</v>
      </c>
      <c r="C49" s="1"/>
      <c r="D49" s="366"/>
      <c r="E49" s="366"/>
      <c r="F49" s="366"/>
      <c r="G49" s="366"/>
      <c r="H49" s="366"/>
    </row>
    <row r="50" ht="13.5" customHeight="1" spans="2:9">
      <c r="C50" s="396" t="s">
        <v>124</v>
      </c>
      <c r="D50" s="366"/>
      <c r="E50" s="366"/>
      <c r="F50" s="366"/>
      <c r="G50" s="366"/>
      <c r="H50" s="366"/>
      <c r="I50" s="396"/>
    </row>
    <row r="51" ht="13.5" customHeight="1" spans="2:9">
      <c r="C51" s="3" t="s">
        <v>125</v>
      </c>
      <c r="D51" s="366">
        <f>'BS Input'!D29/'BS Input'!D$39</f>
        <v>0.0566060143360054</v>
      </c>
      <c r="E51" s="366">
        <f>'BS Input'!E29/'BS Input'!E$39</f>
        <v>0.0549135245119858</v>
      </c>
      <c r="F51" s="366">
        <f>'BS Input'!F29/'BS Input'!F$39</f>
        <v>0.0937132657059515</v>
      </c>
      <c r="G51" s="366">
        <f>'BS Input'!G29/'BS Input'!G$39</f>
        <v>0.083826383618866</v>
      </c>
      <c r="H51" s="366">
        <f>'BS Input'!H29/'BS Input'!H$39</f>
        <v>0.0830303846326467</v>
      </c>
      <c r="I51" s="396"/>
    </row>
    <row r="52" ht="13.5" customHeight="1" spans="2:9">
      <c r="C52" s="3" t="s">
        <v>133</v>
      </c>
      <c r="D52" s="366">
        <f>'BS Input'!D30/'BS Input'!D$39</f>
        <v>0.19254358060822</v>
      </c>
      <c r="E52" s="366">
        <f>'BS Input'!E30/'BS Input'!E$39</f>
        <v>0.202072868315636</v>
      </c>
      <c r="F52" s="366">
        <f>'BS Input'!F30/'BS Input'!F$39</f>
        <v>0.219085143744467</v>
      </c>
      <c r="G52" s="366">
        <f>'BS Input'!G30/'BS Input'!G$39</f>
        <v>0.209250317320672</v>
      </c>
      <c r="H52" s="366">
        <f>'BS Input'!H30/'BS Input'!H$39</f>
        <v>0.225906762327928</v>
      </c>
    </row>
    <row r="53" ht="13.5" customHeight="1" spans="2:9">
      <c r="C53" s="3" t="s">
        <v>134</v>
      </c>
      <c r="D53" s="366">
        <f>'BS Input'!D31/'BS Input'!D$39</f>
        <v>0.148212240743097</v>
      </c>
      <c r="E53" s="366">
        <f>'BS Input'!E31/'BS Input'!E$39</f>
        <v>0.0967524003306416</v>
      </c>
      <c r="F53" s="366">
        <f>'BS Input'!F31/'BS Input'!F$39</f>
        <v>0.107289535170592</v>
      </c>
      <c r="G53" s="366">
        <f>'BS Input'!G31/'BS Input'!G$39</f>
        <v>0.164234434497626</v>
      </c>
      <c r="H53" s="366">
        <f>'BS Input'!H31/'BS Input'!H$39</f>
        <v>0.142344213840107</v>
      </c>
    </row>
    <row r="54" ht="13.5" customHeight="1" spans="2:9">
      <c r="C54" s="3" t="s">
        <v>127</v>
      </c>
      <c r="D54" s="366">
        <f>'BS Input'!D33/'BS Input'!D$39</f>
        <v>0.0740297747805064</v>
      </c>
      <c r="E54" s="366">
        <f>'BS Input'!E33/'BS Input'!E$39</f>
        <v>0.0922299230622496</v>
      </c>
      <c r="F54" s="366">
        <f>'BS Input'!F33/'BS Input'!F$39</f>
        <v>0.0876906555212097</v>
      </c>
      <c r="G54" s="366">
        <f>'BS Input'!G33/'BS Input'!G$39</f>
        <v>0.0929464147800917</v>
      </c>
      <c r="H54" s="366">
        <f>'BS Input'!H33/'BS Input'!H$39</f>
        <v>0.101880526008707</v>
      </c>
    </row>
    <row r="55" ht="13.5" customHeight="1" spans="2:9">
      <c r="C55" s="3" t="s">
        <v>135</v>
      </c>
      <c r="D55" s="366">
        <f>'BS Input'!D35/'BS Input'!D$39</f>
        <v>0.0959664079399415</v>
      </c>
      <c r="E55" s="366">
        <f>'BS Input'!E35/'BS Input'!E$39</f>
        <v>0.115056908501303</v>
      </c>
      <c r="F55" s="366">
        <f>'BS Input'!F35/'BS Input'!F$39</f>
        <v>0.0929368569230992</v>
      </c>
      <c r="G55" s="366">
        <f>'BS Input'!G35/'BS Input'!G$39</f>
        <v>0.0801864300920734</v>
      </c>
      <c r="H55" s="366">
        <f>'BS Input'!H35/'BS Input'!H$39</f>
        <v>0.0971038745375624</v>
      </c>
    </row>
    <row r="56" ht="13.5" customHeight="1" spans="2:9">
      <c r="D56" s="95"/>
      <c r="E56" s="95"/>
      <c r="F56" s="95"/>
      <c r="G56" s="95"/>
      <c r="H56" s="95"/>
    </row>
    <row r="57" ht="13.5" customHeight="1" spans="2:9">
      <c r="B57" s="398" t="s">
        <v>137</v>
      </c>
      <c r="C57" s="398"/>
      <c r="D57" s="390">
        <f>'BS Input'!D39/'BS Input'!D$39</f>
        <v>1</v>
      </c>
      <c r="E57" s="390">
        <f>'BS Input'!E39/'BS Input'!E$39</f>
        <v>1</v>
      </c>
      <c r="F57" s="390">
        <f>'BS Input'!F39/'BS Input'!F$39</f>
        <v>1</v>
      </c>
      <c r="G57" s="390">
        <f>'BS Input'!G39/'BS Input'!G$39</f>
        <v>1</v>
      </c>
      <c r="H57" s="390">
        <f>'BS Input'!H39/'BS Input'!H$39</f>
        <v>1</v>
      </c>
    </row>
    <row r="58" ht="13.5" customHeight="1" spans="2:9">
      <c r="D58" s="14"/>
      <c r="E58" s="14"/>
      <c r="F58" s="14"/>
      <c r="G58" s="14"/>
      <c r="H58" s="14"/>
    </row>
    <row r="59" ht="13.5" customHeight="1" spans="2:9">
      <c r="B59" s="29" t="s">
        <v>138</v>
      </c>
      <c r="C59" s="29"/>
      <c r="D59" s="14"/>
      <c r="E59" s="14"/>
      <c r="F59" s="14"/>
      <c r="G59" s="14"/>
      <c r="H59" s="14"/>
    </row>
    <row r="60" ht="13.5" customHeight="1" spans="2:9">
      <c r="B60" s="2"/>
      <c r="C60" s="2"/>
      <c r="D60" s="14"/>
      <c r="E60" s="14"/>
      <c r="F60" s="14"/>
      <c r="G60" s="14"/>
      <c r="H60" s="14"/>
    </row>
    <row r="61" ht="13.5" customHeight="1" spans="2:9">
      <c r="B61" s="1" t="s">
        <v>139</v>
      </c>
      <c r="D61" s="14"/>
      <c r="E61" s="14"/>
      <c r="F61" s="14"/>
      <c r="G61" s="14"/>
      <c r="H61" s="14"/>
    </row>
    <row r="62" ht="13.5" customHeight="1" spans="2:9">
      <c r="C62" s="3" t="s">
        <v>140</v>
      </c>
      <c r="D62" s="366">
        <f>'BS Input'!D44/'BS Input'!D$70</f>
        <v>0.0177970055562625</v>
      </c>
      <c r="E62" s="366">
        <f>'BS Input'!E44/'BS Input'!E$70</f>
        <v>0.0164446493291791</v>
      </c>
      <c r="F62" s="366">
        <f>'BS Input'!F44/'BS Input'!F$70</f>
        <v>0.015027500834458</v>
      </c>
      <c r="G62" s="366">
        <f>'BS Input'!G44/'BS Input'!G$70</f>
        <v>0.0139218148727695</v>
      </c>
      <c r="H62" s="366">
        <f>'BS Input'!H44/'BS Input'!H$70</f>
        <v>0.0129771041310021</v>
      </c>
    </row>
    <row r="63" ht="13.5" customHeight="1" spans="2:9">
      <c r="C63" s="3" t="s">
        <v>141</v>
      </c>
      <c r="D63" s="366">
        <f>'BS Input'!D45/'BS Input'!D$70</f>
        <v>0.621385248335242</v>
      </c>
      <c r="E63" s="366">
        <f>'BS Input'!E45/'BS Input'!E$70</f>
        <v>0.582898836396007</v>
      </c>
      <c r="F63" s="366">
        <f>'BS Input'!F45/'BS Input'!F$70</f>
        <v>0.624356016079644</v>
      </c>
      <c r="G63" s="366">
        <f>'BS Input'!G45/'BS Input'!G$70</f>
        <v>0.629570928725412</v>
      </c>
      <c r="H63" s="366">
        <f>'BS Input'!H45/'BS Input'!H$70</f>
        <v>0.582353959491431</v>
      </c>
    </row>
    <row r="64" ht="13.5" customHeight="1" spans="2:9">
      <c r="C64" s="3" t="s">
        <v>142</v>
      </c>
      <c r="D64" s="366">
        <f>'BS Input'!D46/'BS Input'!D$70</f>
        <v>0.00327437757136192</v>
      </c>
      <c r="E64" s="366">
        <f>'BS Input'!E46/'BS Input'!E$70</f>
        <v>0.00308386850639028</v>
      </c>
      <c r="F64" s="366">
        <f>'BS Input'!F46/'BS Input'!F$70</f>
        <v>0.00250337411293483</v>
      </c>
      <c r="G64" s="366">
        <f>'BS Input'!G46/'BS Input'!G$70</f>
        <v>0.00258557584467741</v>
      </c>
      <c r="H64" s="366">
        <f>'BS Input'!H46/'BS Input'!H$70</f>
        <v>0.00285316765726083</v>
      </c>
    </row>
    <row r="65" ht="13.5" customHeight="1" spans="2:9">
      <c r="D65" s="366"/>
      <c r="E65" s="366"/>
      <c r="F65" s="366"/>
      <c r="G65" s="366"/>
      <c r="H65" s="366"/>
    </row>
    <row r="66" ht="13.5" customHeight="1" spans="2:9">
      <c r="B66" s="1" t="s">
        <v>144</v>
      </c>
      <c r="C66" s="1"/>
      <c r="D66" s="366"/>
      <c r="E66" s="366"/>
      <c r="F66" s="366"/>
      <c r="G66" s="366"/>
      <c r="H66" s="366"/>
    </row>
    <row r="67" ht="13.5" customHeight="1" spans="2:9">
      <c r="C67" s="396" t="s">
        <v>145</v>
      </c>
      <c r="D67" s="352"/>
      <c r="E67" s="352"/>
      <c r="F67" s="352"/>
      <c r="G67" s="352"/>
      <c r="H67" s="352"/>
      <c r="I67" s="396"/>
    </row>
    <row r="68" ht="13.5" customHeight="1" spans="2:9">
      <c r="C68" s="3" t="s">
        <v>146</v>
      </c>
      <c r="D68" s="366">
        <f>'BS Input'!D52/'BS Input'!D$70</f>
        <v>0.0390380455528693</v>
      </c>
      <c r="E68" s="366">
        <f>'BS Input'!E52/'BS Input'!E$70</f>
        <v>0.0560898454886501</v>
      </c>
      <c r="F68" s="366">
        <f>'BS Input'!F52/'BS Input'!F$70</f>
        <v>0.0464394038341533</v>
      </c>
      <c r="G68" s="366">
        <f>'BS Input'!G52/'BS Input'!G$70</f>
        <v>0.0387634903259169</v>
      </c>
      <c r="H68" s="366">
        <f>'BS Input'!H52/'BS Input'!H$70</f>
        <v>0.0385722620810813</v>
      </c>
    </row>
    <row r="69" ht="13.5" customHeight="1" spans="2:9">
      <c r="C69" s="3" t="s">
        <v>147</v>
      </c>
      <c r="D69" s="366">
        <f>'BS Input'!D53/'BS Input'!D$70</f>
        <v>0.0198244051406031</v>
      </c>
      <c r="E69" s="366">
        <f>'BS Input'!E53/'BS Input'!E$70</f>
        <v>0.0163572200674</v>
      </c>
      <c r="F69" s="366">
        <f>'BS Input'!F53/'BS Input'!F$70</f>
        <v>0.0154556140885541</v>
      </c>
      <c r="G69" s="366">
        <f>'BS Input'!G53/'BS Input'!G$70</f>
        <v>0.0143784880089723</v>
      </c>
      <c r="H69" s="366">
        <f>'BS Input'!H53/'BS Input'!H$70</f>
        <v>0.0134130937954824</v>
      </c>
    </row>
    <row r="70" ht="13.5" customHeight="1" spans="2:9">
      <c r="C70" s="3" t="str">
        <f>'BS Input'!C54</f>
        <v>Other non current liabilities</v>
      </c>
      <c r="D70" s="366">
        <f>'BS Input'!D54/'BS Input'!D$70</f>
        <v>0.00382576239555499</v>
      </c>
      <c r="E70" s="366">
        <f>'BS Input'!E54/'BS Input'!E$70</f>
        <v>0.00397405735359573</v>
      </c>
      <c r="F70" s="366">
        <f>'BS Input'!F54/'BS Input'!F$70</f>
        <v>0.00170519685953532</v>
      </c>
      <c r="G70" s="366">
        <f>'BS Input'!G54/'BS Input'!G$70</f>
        <v>0.0014438930041705</v>
      </c>
      <c r="H70" s="366">
        <f>'BS Input'!H54/'BS Input'!H$70</f>
        <v>0.00359691473196253</v>
      </c>
    </row>
    <row r="71" ht="13.5" customHeight="1" spans="2:9">
      <c r="C71" s="3" t="s">
        <v>231</v>
      </c>
      <c r="D71" s="366">
        <f>'BS Input'!D55/'BS Input'!D$70</f>
        <v>0.00980616702718751</v>
      </c>
      <c r="E71" s="366">
        <f>'BS Input'!E55/'BS Input'!E$70</f>
        <v>0.00969669994277357</v>
      </c>
      <c r="F71" s="366">
        <f>'BS Input'!F55/'BS Input'!F$70</f>
        <v>0.0130175453872611</v>
      </c>
      <c r="G71" s="366">
        <f>'BS Input'!G55/'BS Input'!G$70</f>
        <v>0.0115645755961935</v>
      </c>
      <c r="H71" s="366">
        <f>'BS Input'!H55/'BS Input'!H$70</f>
        <v>0.0107650977450358</v>
      </c>
    </row>
    <row r="72" ht="13.5" customHeight="1" spans="2:9">
      <c r="D72" s="366"/>
      <c r="E72" s="366"/>
      <c r="F72" s="366"/>
      <c r="G72" s="366"/>
      <c r="H72" s="366"/>
    </row>
    <row r="73" ht="13.5" customHeight="1" spans="2:9">
      <c r="B73" s="1" t="s">
        <v>151</v>
      </c>
      <c r="D73" s="366"/>
      <c r="E73" s="366"/>
      <c r="F73" s="366"/>
      <c r="G73" s="366"/>
      <c r="H73" s="366"/>
      <c r="I73" s="1"/>
    </row>
    <row r="74" ht="13.5" customHeight="1" spans="2:9">
      <c r="C74" s="396" t="s">
        <v>145</v>
      </c>
      <c r="D74" s="352"/>
      <c r="E74" s="352"/>
      <c r="F74" s="352"/>
      <c r="G74" s="352"/>
      <c r="H74" s="352"/>
      <c r="I74" s="396"/>
    </row>
    <row r="75" ht="13.5" customHeight="1" spans="2:9">
      <c r="C75" s="3" t="s">
        <v>152</v>
      </c>
      <c r="D75" s="366">
        <f>'BS Input'!D61/'BS Input'!D$70</f>
        <v>0.00739703948763626</v>
      </c>
      <c r="E75" s="366">
        <f>'BS Input'!E61/'BS Input'!E$70</f>
        <v>0.00987155846633179</v>
      </c>
      <c r="F75" s="366">
        <f>'BS Input'!F61/'BS Input'!F$70</f>
        <v>0.0142148112673604</v>
      </c>
      <c r="G75" s="366">
        <f>'BS Input'!G61/'BS Input'!G$70</f>
        <v>0.0164872433732027</v>
      </c>
      <c r="H75" s="366">
        <f>'BS Input'!H61/'BS Input'!H$70</f>
        <v>0.0202606961729084</v>
      </c>
    </row>
    <row r="76" ht="13.5" customHeight="1" spans="2:9">
      <c r="C76" s="3" t="s">
        <v>153</v>
      </c>
      <c r="D76" s="366">
        <f>'BS Input'!D62/'BS Input'!D$70</f>
        <v>0.0350680748186792</v>
      </c>
      <c r="E76" s="366">
        <f>'BS Input'!E62/'BS Input'!E$70</f>
        <v>0.030719463343295</v>
      </c>
      <c r="F76" s="366">
        <f>'BS Input'!F62/'BS Input'!F$70</f>
        <v>0.028705356494986</v>
      </c>
      <c r="G76" s="366">
        <f>'BS Input'!G62/'BS Input'!G$70</f>
        <v>0.0279645138110045</v>
      </c>
      <c r="H76" s="366">
        <f>'BS Input'!H62/'BS Input'!H$70</f>
        <v>0.0304166907102143</v>
      </c>
    </row>
    <row r="77" ht="13.5" customHeight="1" spans="2:9">
      <c r="C77" s="3" t="s">
        <v>154</v>
      </c>
      <c r="D77" s="366">
        <f>'BS Input'!D63/'BS Input'!D$70</f>
        <v>0.134342791703779</v>
      </c>
      <c r="E77" s="366">
        <f>'BS Input'!E63/'BS Input'!E$70</f>
        <v>0.147501112736059</v>
      </c>
      <c r="F77" s="366">
        <f>'BS Input'!F63/'BS Input'!F$70</f>
        <v>0.123057164003657</v>
      </c>
      <c r="G77" s="366">
        <f>'BS Input'!G63/'BS Input'!G$70</f>
        <v>0.121810843300672</v>
      </c>
      <c r="H77" s="366">
        <f>'BS Input'!H63/'BS Input'!H$70</f>
        <v>0.137740675912212</v>
      </c>
    </row>
    <row r="78" ht="13.5" customHeight="1" spans="2:9">
      <c r="C78" s="3" t="s">
        <v>155</v>
      </c>
      <c r="D78" s="366">
        <f>'BS Input'!D64/'BS Input'!D$70</f>
        <v>0.0778555371760614</v>
      </c>
      <c r="E78" s="366">
        <f>'BS Input'!E64/'BS Input'!E$70</f>
        <v>0.0860780822788834</v>
      </c>
      <c r="F78" s="366">
        <f>'BS Input'!F64/'BS Input'!F$70</f>
        <v>0.0764726370325221</v>
      </c>
      <c r="G78" s="366">
        <f>'BS Input'!G64/'BS Input'!G$70</f>
        <v>0.0790111683444927</v>
      </c>
      <c r="H78" s="366">
        <f>'BS Input'!H64/'BS Input'!H$70</f>
        <v>0.10116883699757</v>
      </c>
    </row>
    <row r="79" ht="13.5" customHeight="1" spans="2:9">
      <c r="C79" s="3" t="s">
        <v>156</v>
      </c>
      <c r="D79" s="366">
        <f>'BS Input'!D65/'BS Input'!D$70</f>
        <v>0.00827077236289604</v>
      </c>
      <c r="E79" s="366">
        <f>'BS Input'!E65/'BS Input'!E$70</f>
        <v>0.0103881859222992</v>
      </c>
      <c r="F79" s="366">
        <f>'BS Input'!F65/'BS Input'!F$70</f>
        <v>0.0130320577009593</v>
      </c>
      <c r="G79" s="366">
        <f>'BS Input'!G65/'BS Input'!G$70</f>
        <v>0.00990577758675111</v>
      </c>
      <c r="H79" s="366">
        <f>'BS Input'!H65/'BS Input'!H$70</f>
        <v>0.00969435842197388</v>
      </c>
    </row>
    <row r="80" ht="13.5" customHeight="1" spans="2:9">
      <c r="C80" s="3" t="s">
        <v>232</v>
      </c>
      <c r="D80" s="366">
        <f>'BS Input'!D66/'BS Input'!D$70</f>
        <v>0.0221147728718666</v>
      </c>
      <c r="E80" s="366">
        <f>'BS Input'!E66/'BS Input'!E$70</f>
        <v>0.0268964201691359</v>
      </c>
      <c r="F80" s="366">
        <f>'BS Input'!F66/'BS Input'!F$70</f>
        <v>0.0260133223039749</v>
      </c>
      <c r="G80" s="366">
        <f>'BS Input'!G66/'BS Input'!G$70</f>
        <v>0.0325916872057648</v>
      </c>
      <c r="H80" s="366">
        <f>'BS Input'!H66/'BS Input'!H$70</f>
        <v>0.0361871421518655</v>
      </c>
    </row>
    <row r="81" ht="13.5" customHeight="1" spans="2:8">
      <c r="D81" s="14"/>
      <c r="E81" s="14"/>
      <c r="F81" s="14"/>
      <c r="G81" s="14"/>
      <c r="H81" s="14"/>
    </row>
    <row r="82" ht="13.5" customHeight="1" spans="2:8">
      <c r="B82" s="398" t="s">
        <v>137</v>
      </c>
      <c r="C82" s="398"/>
      <c r="D82" s="390">
        <f>'BS Input'!D70/'BS Input'!D$70</f>
        <v>1</v>
      </c>
      <c r="E82" s="390">
        <f>'BS Input'!E70/'BS Input'!E$70</f>
        <v>1</v>
      </c>
      <c r="F82" s="390">
        <f>'BS Input'!F70/'BS Input'!F$70</f>
        <v>1</v>
      </c>
      <c r="G82" s="390">
        <f>'BS Input'!G70/'BS Input'!G$70</f>
        <v>1</v>
      </c>
      <c r="H82" s="390">
        <f>'BS Input'!H70/'BS Input'!H$70</f>
        <v>1</v>
      </c>
    </row>
    <row r="86" ht="14.25" customHeight="1"/>
  </sheetData>
  <mergeCells count="11">
    <mergeCell ref="G6:H6"/>
    <mergeCell ref="B7:H7"/>
    <mergeCell ref="B14:C14"/>
    <mergeCell ref="B20:C20"/>
    <mergeCell ref="B30:C30"/>
    <mergeCell ref="B34:C34"/>
    <mergeCell ref="B57:C57"/>
    <mergeCell ref="B59:C59"/>
    <mergeCell ref="B82:C82"/>
    <mergeCell ref="B2:D4"/>
    <mergeCell ref="B8:C9"/>
  </mergeCells>
  <pageMargins left="0.7" right="0.7" top="0.75" bottom="0.75"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AC090"/>
  </sheetPr>
  <dimension ref="A1:T67"/>
  <sheetViews>
    <sheetView showGridLines="0" topLeftCell="A5" workbookViewId="0">
      <selection activeCell="H22" sqref="H22"/>
    </sheetView>
  </sheetViews>
  <sheetFormatPr defaultColWidth="8.83333333333333" defaultRowHeight="13.8"/>
  <cols>
    <col min="1" max="1" width="5" style="3" customWidth="1"/>
    <col min="2" max="2" width="33.5185185185185" style="3" customWidth="1"/>
    <col min="3" max="3" width="13.1666666666667" style="3" customWidth="1"/>
    <col min="4" max="7" width="13.1666666666667" style="14" customWidth="1"/>
    <col min="8" max="8" width="13.3425925925926" style="14" customWidth="1"/>
    <col min="9" max="9" width="13.1666666666667" style="14" customWidth="1"/>
    <col min="10" max="17" width="14.3333333333333" style="14" customWidth="1"/>
    <col min="18" max="16384" width="8.83333333333333" style="14"/>
  </cols>
  <sheetData>
    <row r="1" s="3" customFormat="1" ht="13.5" customHeight="1"/>
    <row r="2" s="3" customFormat="1" ht="13.5" customHeight="1" spans="1:17">
      <c r="B2" s="173" t="s">
        <v>21</v>
      </c>
      <c r="C2" s="173"/>
      <c r="D2" s="173"/>
    </row>
    <row r="3" s="3" customFormat="1" ht="13.5" customHeight="1" spans="1:17">
      <c r="B3" s="173"/>
      <c r="C3" s="173"/>
      <c r="D3" s="173"/>
    </row>
    <row r="4" s="3" customFormat="1" ht="13.5" customHeight="1" spans="1:17">
      <c r="B4" s="173"/>
      <c r="C4" s="173"/>
      <c r="D4" s="173"/>
      <c r="H4" s="22"/>
    </row>
    <row r="5" s="3" customFormat="1" ht="13.5" customHeight="1" spans="1:17">
      <c r="H5" s="23"/>
      <c r="L5" s="23"/>
    </row>
    <row r="6" s="3" customFormat="1" ht="14.25" customHeight="1" spans="1:17">
      <c r="B6" s="365"/>
      <c r="C6" s="365"/>
      <c r="P6" s="5" t="s">
        <v>83</v>
      </c>
      <c r="Q6" s="5"/>
    </row>
    <row r="7" s="3" customFormat="1" ht="15" customHeight="1" spans="1:17">
      <c r="B7" s="261" t="s">
        <v>233</v>
      </c>
      <c r="C7" s="261"/>
      <c r="D7" s="261"/>
      <c r="E7" s="261"/>
      <c r="F7" s="261"/>
      <c r="G7" s="261"/>
      <c r="H7" s="261"/>
      <c r="I7" s="261"/>
      <c r="J7" s="261"/>
      <c r="K7" s="261"/>
      <c r="L7" s="261"/>
      <c r="M7" s="261"/>
      <c r="N7" s="261"/>
      <c r="O7" s="261"/>
      <c r="P7" s="261"/>
      <c r="Q7" s="261"/>
    </row>
    <row r="8" s="1" customFormat="1" ht="14.25" customHeight="1" spans="1:17">
      <c r="B8" s="311" t="s">
        <v>39</v>
      </c>
      <c r="C8" s="9">
        <v>2022</v>
      </c>
      <c r="D8" s="9">
        <f t="shared" ref="D8:Q8" si="0">C8+1</f>
        <v>2023</v>
      </c>
      <c r="E8" s="9">
        <f t="shared" si="0"/>
        <v>2024</v>
      </c>
      <c r="F8" s="9">
        <f t="shared" si="0"/>
        <v>2025</v>
      </c>
      <c r="G8" s="9">
        <f t="shared" si="0"/>
        <v>2026</v>
      </c>
      <c r="H8" s="9">
        <f t="shared" si="0"/>
        <v>2027</v>
      </c>
      <c r="I8" s="9">
        <f t="shared" si="0"/>
        <v>2028</v>
      </c>
      <c r="J8" s="9">
        <f t="shared" si="0"/>
        <v>2029</v>
      </c>
      <c r="K8" s="9">
        <f t="shared" si="0"/>
        <v>2030</v>
      </c>
      <c r="L8" s="9">
        <f t="shared" si="0"/>
        <v>2031</v>
      </c>
      <c r="M8" s="9">
        <f t="shared" si="0"/>
        <v>2032</v>
      </c>
      <c r="N8" s="9">
        <f t="shared" si="0"/>
        <v>2033</v>
      </c>
      <c r="O8" s="9">
        <f t="shared" si="0"/>
        <v>2034</v>
      </c>
      <c r="P8" s="9">
        <f t="shared" si="0"/>
        <v>2035</v>
      </c>
      <c r="Q8" s="9">
        <f t="shared" si="0"/>
        <v>2036</v>
      </c>
    </row>
    <row r="9" s="280" customFormat="1" ht="13.5" customHeight="1" spans="1:17">
      <c r="B9" s="311"/>
      <c r="C9" s="11" t="s">
        <v>84</v>
      </c>
      <c r="D9" s="11" t="s">
        <v>84</v>
      </c>
      <c r="E9" s="11" t="s">
        <v>84</v>
      </c>
      <c r="F9" s="11" t="s">
        <v>84</v>
      </c>
      <c r="G9" s="11" t="s">
        <v>84</v>
      </c>
      <c r="H9" s="12" t="s">
        <v>234</v>
      </c>
      <c r="I9" s="12" t="s">
        <v>235</v>
      </c>
      <c r="J9" s="12" t="s">
        <v>235</v>
      </c>
      <c r="K9" s="12" t="s">
        <v>235</v>
      </c>
      <c r="L9" s="12" t="s">
        <v>235</v>
      </c>
      <c r="M9" s="12" t="s">
        <v>235</v>
      </c>
      <c r="N9" s="12" t="s">
        <v>235</v>
      </c>
      <c r="O9" s="12" t="s">
        <v>235</v>
      </c>
      <c r="P9" s="12" t="s">
        <v>235</v>
      </c>
      <c r="Q9" s="12" t="s">
        <v>235</v>
      </c>
    </row>
    <row r="10" s="1" customFormat="1" ht="13.5" customHeight="1" spans="1:17">
      <c r="B10" s="268"/>
      <c r="H10" s="13"/>
      <c r="I10" s="13"/>
      <c r="J10" s="13"/>
      <c r="K10" s="13"/>
      <c r="L10" s="13"/>
      <c r="M10" s="13"/>
      <c r="N10" s="13"/>
      <c r="O10" s="13"/>
      <c r="P10" s="13"/>
      <c r="Q10" s="13"/>
    </row>
    <row r="11" ht="13.5" customHeight="1" spans="1:17">
      <c r="B11" s="213" t="s">
        <v>236</v>
      </c>
      <c r="C11" s="66">
        <f t="shared" ref="C11:Q11" si="1">C15-C12</f>
        <v>113536</v>
      </c>
      <c r="D11" s="66">
        <f t="shared" si="1"/>
        <v>137575</v>
      </c>
      <c r="E11" s="66">
        <f t="shared" si="1"/>
        <v>145285</v>
      </c>
      <c r="F11" s="66">
        <f t="shared" si="1"/>
        <v>155395</v>
      </c>
      <c r="G11" s="66">
        <f t="shared" si="1"/>
        <v>170122</v>
      </c>
      <c r="H11" s="16">
        <f t="shared" si="1"/>
        <v>184226.178856416</v>
      </c>
      <c r="I11" s="16">
        <f t="shared" si="1"/>
        <v>201780.731154828</v>
      </c>
      <c r="J11" s="16">
        <f t="shared" si="1"/>
        <v>219161.016863231</v>
      </c>
      <c r="K11" s="16">
        <f t="shared" si="1"/>
        <v>236056.495529066</v>
      </c>
      <c r="L11" s="16">
        <f t="shared" si="1"/>
        <v>252143.425020734</v>
      </c>
      <c r="M11" s="16">
        <f t="shared" si="1"/>
        <v>267093.653322034</v>
      </c>
      <c r="N11" s="16">
        <f t="shared" si="1"/>
        <v>280584.063968276</v>
      </c>
      <c r="O11" s="16">
        <f t="shared" si="1"/>
        <v>292306.380923995</v>
      </c>
      <c r="P11" s="16">
        <f t="shared" si="1"/>
        <v>301977.034043789</v>
      </c>
      <c r="Q11" s="16">
        <f t="shared" si="1"/>
        <v>309346.784398333</v>
      </c>
    </row>
    <row r="12" ht="13.5" customHeight="1" spans="1:17">
      <c r="B12" s="213" t="s">
        <v>226</v>
      </c>
      <c r="C12" s="66">
        <v>8105</v>
      </c>
      <c r="D12" s="66">
        <v>9192</v>
      </c>
      <c r="E12" s="66">
        <v>8385</v>
      </c>
      <c r="F12" s="66">
        <v>7595</v>
      </c>
      <c r="G12" s="66">
        <v>8528</v>
      </c>
      <c r="H12" s="16">
        <f t="shared" ref="H12:Q12" si="2">H$13*H$28</f>
        <v>11547.5089160884</v>
      </c>
      <c r="I12" s="16">
        <f t="shared" si="2"/>
        <v>12647.8484576356</v>
      </c>
      <c r="J12" s="16">
        <f t="shared" si="2"/>
        <v>13737.2647687581</v>
      </c>
      <c r="K12" s="16">
        <f t="shared" si="2"/>
        <v>14796.2928164894</v>
      </c>
      <c r="L12" s="16">
        <f t="shared" si="2"/>
        <v>15804.6400714271</v>
      </c>
      <c r="M12" s="16">
        <f t="shared" si="2"/>
        <v>16741.7375875264</v>
      </c>
      <c r="N12" s="16">
        <f t="shared" si="2"/>
        <v>17587.3320529069</v>
      </c>
      <c r="O12" s="16">
        <f t="shared" si="2"/>
        <v>18322.1003708715</v>
      </c>
      <c r="P12" s="16">
        <f t="shared" si="2"/>
        <v>18928.2680383465</v>
      </c>
      <c r="Q12" s="16">
        <f t="shared" si="2"/>
        <v>19390.2124723933</v>
      </c>
    </row>
    <row r="13" ht="13.5" customHeight="1" spans="1:17">
      <c r="B13" s="327" t="s">
        <v>237</v>
      </c>
      <c r="C13" s="366">
        <f>C$12/C$11</f>
        <v>0.0713870490417136</v>
      </c>
      <c r="D13" s="366">
        <f>D$12/D$11</f>
        <v>0.0668144648373614</v>
      </c>
      <c r="E13" s="366">
        <f>E$12/E$11</f>
        <v>0.0577141480538252</v>
      </c>
      <c r="F13" s="366">
        <f>F$12/F$11</f>
        <v>0.0488754464429357</v>
      </c>
      <c r="G13" s="366">
        <f>G$12/G$11</f>
        <v>0.0501287311458835</v>
      </c>
      <c r="H13" s="323">
        <f>AVERAGE(C13:G13)</f>
        <v>0.0589839679043439</v>
      </c>
      <c r="I13" s="323">
        <f t="shared" ref="I13:Q13" si="3">H13</f>
        <v>0.0589839679043439</v>
      </c>
      <c r="J13" s="323">
        <f t="shared" si="3"/>
        <v>0.0589839679043439</v>
      </c>
      <c r="K13" s="323">
        <f t="shared" si="3"/>
        <v>0.0589839679043439</v>
      </c>
      <c r="L13" s="323">
        <f t="shared" si="3"/>
        <v>0.0589839679043439</v>
      </c>
      <c r="M13" s="323">
        <f t="shared" si="3"/>
        <v>0.0589839679043439</v>
      </c>
      <c r="N13" s="323">
        <f t="shared" si="3"/>
        <v>0.0589839679043439</v>
      </c>
      <c r="O13" s="323">
        <f t="shared" si="3"/>
        <v>0.0589839679043439</v>
      </c>
      <c r="P13" s="323">
        <f t="shared" si="3"/>
        <v>0.0589839679043439</v>
      </c>
      <c r="Q13" s="323">
        <f t="shared" si="3"/>
        <v>0.0589839679043439</v>
      </c>
    </row>
    <row r="14" ht="13.5" customHeight="1" spans="1:17">
      <c r="B14" s="327"/>
      <c r="C14" s="367"/>
      <c r="D14" s="367"/>
      <c r="E14" s="367"/>
      <c r="F14" s="53"/>
      <c r="G14" s="53"/>
      <c r="H14" s="368"/>
      <c r="I14" s="368"/>
      <c r="J14" s="368"/>
      <c r="K14" s="368"/>
      <c r="L14" s="368"/>
      <c r="M14" s="368"/>
      <c r="N14" s="368"/>
      <c r="O14" s="368"/>
      <c r="P14" s="368"/>
      <c r="Q14" s="368"/>
    </row>
    <row r="15" s="57" customFormat="1" ht="13.5" customHeight="1" spans="1:17">
      <c r="A15" s="1"/>
      <c r="B15" s="268" t="s">
        <v>85</v>
      </c>
      <c r="C15" s="18">
        <f>C62</f>
        <v>121641</v>
      </c>
      <c r="D15" s="18">
        <f>D62</f>
        <v>146767</v>
      </c>
      <c r="E15" s="18">
        <f>E62</f>
        <v>153670</v>
      </c>
      <c r="F15" s="18">
        <f>F62</f>
        <v>162990</v>
      </c>
      <c r="G15" s="18">
        <f>G62</f>
        <v>178650</v>
      </c>
      <c r="H15" s="271">
        <f t="shared" ref="H15:Q15" si="4">H28</f>
        <v>195773.687772504</v>
      </c>
      <c r="I15" s="271">
        <f t="shared" si="4"/>
        <v>214428.579612464</v>
      </c>
      <c r="J15" s="271">
        <f t="shared" si="4"/>
        <v>232898.281631989</v>
      </c>
      <c r="K15" s="271">
        <f t="shared" si="4"/>
        <v>250852.788345556</v>
      </c>
      <c r="L15" s="271">
        <f t="shared" si="4"/>
        <v>267948.065092161</v>
      </c>
      <c r="M15" s="271">
        <f t="shared" si="4"/>
        <v>283835.390909561</v>
      </c>
      <c r="N15" s="271">
        <f t="shared" si="4"/>
        <v>298171.396021183</v>
      </c>
      <c r="O15" s="271">
        <f t="shared" si="4"/>
        <v>310628.481294867</v>
      </c>
      <c r="P15" s="271">
        <f t="shared" si="4"/>
        <v>320905.302082135</v>
      </c>
      <c r="Q15" s="271">
        <f t="shared" si="4"/>
        <v>328736.996870727</v>
      </c>
    </row>
    <row r="16" s="58" customFormat="1" ht="13.5" customHeight="1" spans="1:17">
      <c r="A16" s="280"/>
      <c r="B16" s="327" t="s">
        <v>238</v>
      </c>
      <c r="C16" s="369"/>
      <c r="D16" s="370">
        <f t="shared" ref="D16:Q16" si="5">D15/C15-1</f>
        <v>0.206558643878298</v>
      </c>
      <c r="E16" s="370">
        <f t="shared" si="5"/>
        <v>0.0470337337412361</v>
      </c>
      <c r="F16" s="370">
        <f t="shared" si="5"/>
        <v>0.0606494436129368</v>
      </c>
      <c r="G16" s="370">
        <f t="shared" si="5"/>
        <v>0.0960795140806185</v>
      </c>
      <c r="H16" s="371">
        <f t="shared" si="5"/>
        <v>0.095850477316006</v>
      </c>
      <c r="I16" s="371">
        <f t="shared" si="5"/>
        <v>0.0952880443343174</v>
      </c>
      <c r="J16" s="371">
        <f t="shared" si="5"/>
        <v>0.0861345164572078</v>
      </c>
      <c r="K16" s="371">
        <f t="shared" si="5"/>
        <v>0.0770916238099917</v>
      </c>
      <c r="L16" s="371">
        <f t="shared" si="5"/>
        <v>0.0681486415174151</v>
      </c>
      <c r="M16" s="371">
        <f t="shared" si="5"/>
        <v>0.0592925566076961</v>
      </c>
      <c r="N16" s="371">
        <f t="shared" si="5"/>
        <v>0.0505081662497486</v>
      </c>
      <c r="O16" s="371">
        <f t="shared" si="5"/>
        <v>0.0417782706185497</v>
      </c>
      <c r="P16" s="371">
        <f t="shared" si="5"/>
        <v>0.0330839617295524</v>
      </c>
      <c r="Q16" s="371">
        <f t="shared" si="5"/>
        <v>0.0244050027773821</v>
      </c>
    </row>
    <row r="17" ht="13.5" customHeight="1" spans="1:20">
      <c r="B17" s="213"/>
      <c r="C17" s="367"/>
      <c r="D17" s="367"/>
      <c r="E17" s="367"/>
      <c r="F17" s="53"/>
      <c r="G17" s="53"/>
      <c r="H17" s="368"/>
      <c r="I17" s="368"/>
      <c r="J17" s="368"/>
      <c r="K17" s="368"/>
      <c r="L17" s="368"/>
      <c r="M17" s="368"/>
      <c r="N17" s="368"/>
      <c r="O17" s="368"/>
      <c r="P17" s="368"/>
      <c r="Q17" s="368"/>
    </row>
    <row r="18" ht="13.5" customHeight="1" spans="1:20">
      <c r="B18" s="213" t="s">
        <v>229</v>
      </c>
      <c r="C18" s="66">
        <v>2295</v>
      </c>
      <c r="D18" s="66">
        <v>2701</v>
      </c>
      <c r="E18" s="66">
        <v>4711</v>
      </c>
      <c r="F18" s="66">
        <v>3600</v>
      </c>
      <c r="G18" s="66">
        <v>4322</v>
      </c>
      <c r="H18" s="16">
        <f t="shared" ref="H18:Q18" si="6">H11*H19</f>
        <v>4452.55396006543</v>
      </c>
      <c r="I18" s="16">
        <f t="shared" si="6"/>
        <v>4876.82911921309</v>
      </c>
      <c r="J18" s="16">
        <f t="shared" si="6"/>
        <v>5296.89243724094</v>
      </c>
      <c r="K18" s="16">
        <f t="shared" si="6"/>
        <v>5705.23847637471</v>
      </c>
      <c r="L18" s="16">
        <f t="shared" si="6"/>
        <v>6094.04272807253</v>
      </c>
      <c r="M18" s="16">
        <f t="shared" si="6"/>
        <v>6455.37410149649</v>
      </c>
      <c r="N18" s="16">
        <f t="shared" si="6"/>
        <v>6781.42320981919</v>
      </c>
      <c r="O18" s="16">
        <f t="shared" si="6"/>
        <v>7064.73934385793</v>
      </c>
      <c r="P18" s="16">
        <f t="shared" si="6"/>
        <v>7298.46890993939</v>
      </c>
      <c r="Q18" s="16">
        <f t="shared" si="6"/>
        <v>7476.5880639571</v>
      </c>
    </row>
    <row r="19" ht="13.5" customHeight="1" spans="1:20">
      <c r="B19" s="213"/>
      <c r="C19" s="95">
        <f>C18/C11</f>
        <v>0.0202138528748591</v>
      </c>
      <c r="D19" s="95">
        <f>D18/D11</f>
        <v>0.0196329274940941</v>
      </c>
      <c r="E19" s="95">
        <f>E18/E11</f>
        <v>0.0324259214647073</v>
      </c>
      <c r="F19" s="95">
        <f>F18/F11</f>
        <v>0.0231667685575469</v>
      </c>
      <c r="G19" s="95">
        <f>G18/G11</f>
        <v>0.0254052973748251</v>
      </c>
      <c r="H19" s="372">
        <f>AVERAGE(C19:G19)</f>
        <v>0.0241689535532065</v>
      </c>
      <c r="I19" s="372">
        <f t="shared" ref="I19:Q19" si="7">H19</f>
        <v>0.0241689535532065</v>
      </c>
      <c r="J19" s="372">
        <f t="shared" si="7"/>
        <v>0.0241689535532065</v>
      </c>
      <c r="K19" s="372">
        <f t="shared" si="7"/>
        <v>0.0241689535532065</v>
      </c>
      <c r="L19" s="372">
        <f t="shared" si="7"/>
        <v>0.0241689535532065</v>
      </c>
      <c r="M19" s="372">
        <f t="shared" si="7"/>
        <v>0.0241689535532065</v>
      </c>
      <c r="N19" s="372">
        <f t="shared" si="7"/>
        <v>0.0241689535532065</v>
      </c>
      <c r="O19" s="372">
        <f t="shared" si="7"/>
        <v>0.0241689535532065</v>
      </c>
      <c r="P19" s="372">
        <f t="shared" si="7"/>
        <v>0.0241689535532065</v>
      </c>
      <c r="Q19" s="372">
        <f t="shared" si="7"/>
        <v>0.0241689535532065</v>
      </c>
    </row>
    <row r="20" ht="13.5" customHeight="1" spans="1:20">
      <c r="B20" s="213"/>
      <c r="C20" s="367"/>
      <c r="D20" s="367"/>
      <c r="E20" s="367"/>
      <c r="F20" s="53"/>
      <c r="G20" s="53"/>
      <c r="H20" s="368"/>
      <c r="I20" s="368"/>
      <c r="J20" s="368"/>
      <c r="K20" s="368"/>
      <c r="L20" s="368"/>
      <c r="M20" s="368"/>
      <c r="N20" s="368"/>
      <c r="O20" s="368"/>
      <c r="P20" s="368"/>
      <c r="Q20" s="368"/>
    </row>
    <row r="21" s="58" customFormat="1" ht="13.5" customHeight="1" spans="1:20">
      <c r="A21" s="280"/>
      <c r="C21" s="373"/>
      <c r="D21" s="312"/>
      <c r="E21" s="312"/>
      <c r="F21" s="312"/>
      <c r="G21" s="312"/>
      <c r="H21" s="17"/>
      <c r="I21" s="17"/>
      <c r="J21" s="17"/>
      <c r="K21" s="17"/>
      <c r="L21" s="17"/>
      <c r="M21" s="17"/>
      <c r="N21" s="17"/>
      <c r="O21" s="17"/>
      <c r="P21" s="17"/>
      <c r="Q21" s="17"/>
    </row>
    <row r="22" s="58" customFormat="1" ht="13.5" customHeight="1" spans="1:20">
      <c r="A22" s="280"/>
      <c r="B22" s="213" t="s">
        <v>239</v>
      </c>
      <c r="C22" s="297">
        <v>0</v>
      </c>
      <c r="D22" s="297">
        <v>0</v>
      </c>
      <c r="E22" s="297">
        <v>0</v>
      </c>
      <c r="F22" s="297">
        <v>0</v>
      </c>
      <c r="G22" s="297">
        <v>1289</v>
      </c>
      <c r="H22" s="17">
        <f t="shared" ref="H22:Q22" si="8">H23*H11</f>
        <v>465.288723280783</v>
      </c>
      <c r="I22" s="17">
        <f t="shared" si="8"/>
        <v>509.62517577302</v>
      </c>
      <c r="J22" s="17">
        <f t="shared" si="8"/>
        <v>553.521493862649</v>
      </c>
      <c r="K22" s="17">
        <f t="shared" si="8"/>
        <v>596.193364638253</v>
      </c>
      <c r="L22" s="17">
        <f t="shared" si="8"/>
        <v>636.823132520046</v>
      </c>
      <c r="M22" s="17">
        <f t="shared" si="8"/>
        <v>674.582004154081</v>
      </c>
      <c r="N22" s="17">
        <f t="shared" si="8"/>
        <v>708.653904168984</v>
      </c>
      <c r="O22" s="17">
        <f t="shared" si="8"/>
        <v>738.260238752248</v>
      </c>
      <c r="P22" s="17">
        <f t="shared" si="8"/>
        <v>762.684812237577</v>
      </c>
      <c r="Q22" s="17">
        <f t="shared" si="8"/>
        <v>781.298137198503</v>
      </c>
    </row>
    <row r="23" ht="13.5" customHeight="1" spans="1:20">
      <c r="B23" s="213"/>
      <c r="C23" s="312">
        <f>C22/C11</f>
        <v>0</v>
      </c>
      <c r="D23" s="312">
        <f>D22/D11</f>
        <v>0</v>
      </c>
      <c r="E23" s="312">
        <f>E22/E11</f>
        <v>0</v>
      </c>
      <c r="F23" s="312">
        <f>F22/F11</f>
        <v>0</v>
      </c>
      <c r="G23" s="312">
        <f>G22/G11</f>
        <v>0.00757691539013179</v>
      </c>
      <c r="H23" s="374">
        <f>AVERAGE(E23:G23)</f>
        <v>0.00252563846337726</v>
      </c>
      <c r="I23" s="374">
        <f t="shared" ref="I23:Q23" si="9">H23</f>
        <v>0.00252563846337726</v>
      </c>
      <c r="J23" s="374">
        <f t="shared" si="9"/>
        <v>0.00252563846337726</v>
      </c>
      <c r="K23" s="374">
        <f t="shared" si="9"/>
        <v>0.00252563846337726</v>
      </c>
      <c r="L23" s="374">
        <f t="shared" si="9"/>
        <v>0.00252563846337726</v>
      </c>
      <c r="M23" s="374">
        <f t="shared" si="9"/>
        <v>0.00252563846337726</v>
      </c>
      <c r="N23" s="374">
        <f t="shared" si="9"/>
        <v>0.00252563846337726</v>
      </c>
      <c r="O23" s="374">
        <f t="shared" si="9"/>
        <v>0.00252563846337726</v>
      </c>
      <c r="P23" s="374">
        <f t="shared" si="9"/>
        <v>0.00252563846337726</v>
      </c>
      <c r="Q23" s="374">
        <f t="shared" si="9"/>
        <v>0.00252563846337726</v>
      </c>
    </row>
    <row r="24" ht="13.5" customHeight="1" spans="1:20">
      <c r="B24" s="268" t="s">
        <v>240</v>
      </c>
      <c r="C24" s="1"/>
      <c r="H24" s="16"/>
      <c r="I24" s="16"/>
      <c r="J24" s="16"/>
      <c r="K24" s="16"/>
      <c r="L24" s="16"/>
      <c r="M24" s="16"/>
      <c r="N24" s="16"/>
      <c r="O24" s="16"/>
      <c r="P24" s="16"/>
      <c r="Q24" s="16"/>
    </row>
    <row r="25" ht="13.5" customHeight="1" spans="1:20">
      <c r="B25" s="344" t="s">
        <v>241</v>
      </c>
      <c r="C25" s="366">
        <v>0.617045</v>
      </c>
      <c r="D25" s="366">
        <v>0.61815</v>
      </c>
      <c r="E25" s="366">
        <v>0.60136</v>
      </c>
      <c r="F25" s="366">
        <v>0.579158</v>
      </c>
      <c r="G25" s="366">
        <v>0.560688</v>
      </c>
      <c r="H25" s="16">
        <f t="shared" ref="H25:Q25" si="10">$J$32*H$28</f>
        <v>109767.95744979</v>
      </c>
      <c r="I25" s="16">
        <f t="shared" si="10"/>
        <v>120227.531445753</v>
      </c>
      <c r="J25" s="16">
        <f t="shared" si="10"/>
        <v>130583.271731677</v>
      </c>
      <c r="K25" s="16">
        <f t="shared" si="10"/>
        <v>140650.148191893</v>
      </c>
      <c r="L25" s="16">
        <f t="shared" si="10"/>
        <v>150235.264720394</v>
      </c>
      <c r="M25" s="16">
        <f t="shared" si="10"/>
        <v>159143.0976583</v>
      </c>
      <c r="N25" s="16">
        <f t="shared" si="10"/>
        <v>167181.123692325</v>
      </c>
      <c r="O25" s="16">
        <f t="shared" si="10"/>
        <v>174165.661920256</v>
      </c>
      <c r="P25" s="16">
        <f t="shared" si="10"/>
        <v>179927.752013828</v>
      </c>
      <c r="Q25" s="16">
        <f t="shared" si="10"/>
        <v>184318.889301454</v>
      </c>
    </row>
    <row r="26" ht="13.5" customHeight="1" spans="1:20">
      <c r="B26" s="344" t="s">
        <v>242</v>
      </c>
      <c r="C26" s="366">
        <v>0.247688</v>
      </c>
      <c r="D26" s="366">
        <v>0.256699</v>
      </c>
      <c r="E26" s="366">
        <v>0.27505</v>
      </c>
      <c r="F26" s="366">
        <v>0.298147</v>
      </c>
      <c r="G26" s="366">
        <v>0.321601</v>
      </c>
      <c r="H26" s="16">
        <f t="shared" ref="H26:Q26" si="11">$J$33*H$28</f>
        <v>62961.0137613252</v>
      </c>
      <c r="I26" s="16">
        <f t="shared" si="11"/>
        <v>68960.4456319479</v>
      </c>
      <c r="J26" s="16">
        <f t="shared" si="11"/>
        <v>74900.3202711293</v>
      </c>
      <c r="K26" s="16">
        <f t="shared" si="11"/>
        <v>80674.5075847191</v>
      </c>
      <c r="L26" s="16">
        <f t="shared" si="11"/>
        <v>86172.3656817041</v>
      </c>
      <c r="M26" s="16">
        <f t="shared" si="11"/>
        <v>91281.7455519057</v>
      </c>
      <c r="N26" s="16">
        <f t="shared" si="11"/>
        <v>95892.2191318086</v>
      </c>
      <c r="O26" s="16">
        <f t="shared" si="11"/>
        <v>99898.4302129105</v>
      </c>
      <c r="P26" s="16">
        <f t="shared" si="11"/>
        <v>103203.466054917</v>
      </c>
      <c r="Q26" s="16">
        <f t="shared" si="11"/>
        <v>105722.146930623</v>
      </c>
    </row>
    <row r="27" ht="13.5" customHeight="1" spans="1:20">
      <c r="B27" s="344" t="s">
        <v>243</v>
      </c>
      <c r="C27" s="366">
        <v>0.135267</v>
      </c>
      <c r="D27" s="366">
        <v>0.125151</v>
      </c>
      <c r="E27" s="366">
        <v>0.12359</v>
      </c>
      <c r="F27" s="366">
        <v>0.122695</v>
      </c>
      <c r="G27" s="366">
        <v>0.117711</v>
      </c>
      <c r="H27" s="16">
        <f t="shared" ref="H27:Q27" si="12">$J$34*H$28</f>
        <v>26481.7194239234</v>
      </c>
      <c r="I27" s="16">
        <f t="shared" si="12"/>
        <v>29005.1106784391</v>
      </c>
      <c r="J27" s="16">
        <f t="shared" si="12"/>
        <v>31503.4518615143</v>
      </c>
      <c r="K27" s="16">
        <f t="shared" si="12"/>
        <v>33932.1041211383</v>
      </c>
      <c r="L27" s="16">
        <f t="shared" si="12"/>
        <v>36244.5309208214</v>
      </c>
      <c r="M27" s="16">
        <f t="shared" si="12"/>
        <v>38393.5618221636</v>
      </c>
      <c r="N27" s="16">
        <f t="shared" si="12"/>
        <v>40332.7502255974</v>
      </c>
      <c r="O27" s="16">
        <f t="shared" si="12"/>
        <v>42017.7827793128</v>
      </c>
      <c r="P27" s="16">
        <f t="shared" si="12"/>
        <v>43407.8974967442</v>
      </c>
      <c r="Q27" s="16">
        <f t="shared" si="12"/>
        <v>44467.2673557126</v>
      </c>
    </row>
    <row r="28" ht="13.5" customHeight="1" spans="1:20">
      <c r="A28" s="375"/>
      <c r="B28" s="376"/>
      <c r="C28" s="18">
        <f>C15</f>
        <v>121641</v>
      </c>
      <c r="D28" s="18">
        <f>D15</f>
        <v>146767</v>
      </c>
      <c r="E28" s="18">
        <f>E15</f>
        <v>153670</v>
      </c>
      <c r="F28" s="18">
        <f>F15</f>
        <v>162990</v>
      </c>
      <c r="G28" s="18">
        <f>G15</f>
        <v>178650</v>
      </c>
      <c r="H28" s="271">
        <f t="shared" ref="H28:Q28" si="13">H62</f>
        <v>195773.687772504</v>
      </c>
      <c r="I28" s="271">
        <f t="shared" si="13"/>
        <v>214428.579612464</v>
      </c>
      <c r="J28" s="271">
        <f t="shared" si="13"/>
        <v>232898.281631989</v>
      </c>
      <c r="K28" s="271">
        <f t="shared" si="13"/>
        <v>250852.788345556</v>
      </c>
      <c r="L28" s="271">
        <f t="shared" si="13"/>
        <v>267948.065092161</v>
      </c>
      <c r="M28" s="271">
        <f t="shared" si="13"/>
        <v>283835.390909561</v>
      </c>
      <c r="N28" s="271">
        <f t="shared" si="13"/>
        <v>298171.396021183</v>
      </c>
      <c r="O28" s="271">
        <f t="shared" si="13"/>
        <v>310628.481294867</v>
      </c>
      <c r="P28" s="271">
        <f t="shared" si="13"/>
        <v>320905.302082135</v>
      </c>
      <c r="Q28" s="271">
        <f t="shared" si="13"/>
        <v>328736.996870727</v>
      </c>
      <c r="T28" s="23"/>
    </row>
    <row r="29" s="14" customFormat="1" ht="13.5" customHeight="1" spans="1:20">
      <c r="A29" s="375"/>
      <c r="B29" s="376"/>
      <c r="H29" s="16"/>
      <c r="I29" s="16"/>
      <c r="J29" s="16"/>
      <c r="K29" s="16"/>
      <c r="L29" s="16"/>
      <c r="M29" s="16"/>
      <c r="N29" s="16"/>
      <c r="O29" s="16"/>
      <c r="P29" s="16"/>
      <c r="Q29" s="16"/>
    </row>
    <row r="30" ht="15" customHeight="1" spans="1:20">
      <c r="C30" s="377"/>
      <c r="H30" s="16"/>
      <c r="I30" s="16"/>
      <c r="J30" s="16"/>
      <c r="K30" s="16"/>
      <c r="L30" s="16"/>
      <c r="M30" s="16"/>
      <c r="N30" s="16"/>
      <c r="O30" s="16"/>
      <c r="P30" s="16"/>
      <c r="Q30" s="16"/>
    </row>
    <row r="31" ht="15" customHeight="1" spans="1:20">
      <c r="B31" s="378" t="s">
        <v>244</v>
      </c>
      <c r="C31" s="379" t="s">
        <v>245</v>
      </c>
      <c r="D31" s="1"/>
      <c r="E31" s="1" t="s">
        <v>241</v>
      </c>
      <c r="G31" s="380" t="s">
        <v>246</v>
      </c>
      <c r="H31" s="287" t="s">
        <v>247</v>
      </c>
      <c r="I31" s="16"/>
      <c r="J31" s="287" t="s">
        <v>248</v>
      </c>
      <c r="K31" s="16"/>
      <c r="L31" s="16"/>
      <c r="M31" s="16"/>
      <c r="N31" s="16"/>
      <c r="O31" s="16"/>
      <c r="P31" s="16"/>
      <c r="Q31" s="16"/>
    </row>
    <row r="32" ht="15" customHeight="1" spans="1:20">
      <c r="B32" s="344" t="s">
        <v>249</v>
      </c>
      <c r="C32" s="381">
        <v>0.0471</v>
      </c>
      <c r="D32" s="23"/>
      <c r="E32" s="23">
        <v>0.0377</v>
      </c>
      <c r="F32" s="23"/>
      <c r="G32" s="23">
        <v>0.0483</v>
      </c>
      <c r="H32" s="382">
        <f>MIN(C32:G32)</f>
        <v>0.0377</v>
      </c>
      <c r="I32" s="16"/>
      <c r="J32" s="342">
        <f>MIN(C25:G25)</f>
        <v>0.560688</v>
      </c>
      <c r="K32" s="16"/>
      <c r="L32" s="16"/>
      <c r="M32" s="16"/>
      <c r="N32" s="16"/>
      <c r="O32" s="16"/>
      <c r="P32" s="16"/>
      <c r="Q32" s="16"/>
    </row>
    <row r="33" ht="13.5" customHeight="1" spans="2:17">
      <c r="B33" s="344" t="s">
        <v>250</v>
      </c>
      <c r="C33" s="381">
        <v>0.1243</v>
      </c>
      <c r="D33" s="23"/>
      <c r="E33" s="23">
        <v>0.153</v>
      </c>
      <c r="F33" s="23"/>
      <c r="G33" s="23">
        <v>0.2094</v>
      </c>
      <c r="H33" s="382">
        <f>MIN(C33:G33)</f>
        <v>0.1243</v>
      </c>
      <c r="I33" s="16"/>
      <c r="J33" s="342">
        <f>MAX(C26:G26)</f>
        <v>0.321601</v>
      </c>
      <c r="K33" s="16"/>
      <c r="L33" s="16"/>
      <c r="M33" s="16"/>
      <c r="N33" s="16"/>
      <c r="O33" s="16"/>
      <c r="P33" s="16"/>
      <c r="Q33" s="16"/>
    </row>
    <row r="34" ht="13.5" customHeight="1" spans="2:17">
      <c r="B34" s="344" t="s">
        <v>251</v>
      </c>
      <c r="C34" s="381">
        <v>0.0483</v>
      </c>
      <c r="D34" s="23"/>
      <c r="E34" s="23">
        <v>0.0338</v>
      </c>
      <c r="F34" s="23"/>
      <c r="G34" s="23">
        <v>0.0584</v>
      </c>
      <c r="H34" s="382">
        <f>MIN(C34:G34)</f>
        <v>0.0338</v>
      </c>
      <c r="I34" s="16"/>
      <c r="J34" s="342">
        <f>MAX(C27:G27)</f>
        <v>0.135267</v>
      </c>
      <c r="K34" s="16"/>
      <c r="L34" s="16"/>
      <c r="M34" s="16"/>
      <c r="N34" s="16"/>
      <c r="O34" s="16"/>
      <c r="P34" s="16"/>
      <c r="Q34" s="16"/>
    </row>
    <row r="35" ht="13.5" customHeight="1" spans="2:17">
      <c r="B35" s="280" t="s">
        <v>252</v>
      </c>
      <c r="C35" s="381">
        <v>0.2633</v>
      </c>
      <c r="D35" s="23"/>
      <c r="E35" s="23">
        <v>0.2688</v>
      </c>
      <c r="F35" s="23"/>
      <c r="G35" s="23">
        <v>0.2661</v>
      </c>
      <c r="H35" s="382">
        <f>MIN(C35:G35)</f>
        <v>0.2633</v>
      </c>
      <c r="I35" s="16"/>
      <c r="J35" s="16"/>
      <c r="K35" s="16"/>
      <c r="L35" s="16"/>
      <c r="M35" s="16"/>
      <c r="N35" s="16"/>
      <c r="O35" s="16"/>
      <c r="P35" s="16"/>
      <c r="Q35" s="16"/>
    </row>
    <row r="36" ht="13.5" customHeight="1" spans="2:17">
      <c r="C36" s="383"/>
      <c r="D36" s="22"/>
      <c r="E36" s="22"/>
      <c r="F36" s="22"/>
      <c r="G36" s="22"/>
      <c r="H36" s="16"/>
      <c r="I36" s="16"/>
      <c r="J36" s="16"/>
      <c r="K36" s="16"/>
      <c r="L36" s="16"/>
      <c r="M36" s="16"/>
      <c r="N36" s="16"/>
      <c r="O36" s="16"/>
      <c r="P36" s="16"/>
      <c r="Q36" s="16"/>
    </row>
    <row r="37" ht="15" customHeight="1" spans="2:17">
      <c r="B37" s="378" t="s">
        <v>253</v>
      </c>
      <c r="C37" s="384">
        <v>2022</v>
      </c>
      <c r="D37" s="385">
        <v>2023</v>
      </c>
      <c r="E37" s="385">
        <v>2024</v>
      </c>
      <c r="F37" s="385">
        <v>2025</v>
      </c>
      <c r="G37" s="385">
        <v>2026</v>
      </c>
      <c r="H37" s="215">
        <v>2027</v>
      </c>
      <c r="I37" s="215">
        <v>2028</v>
      </c>
      <c r="J37" s="215">
        <v>2029</v>
      </c>
      <c r="K37" s="215">
        <v>2030</v>
      </c>
      <c r="L37" s="215">
        <v>2031</v>
      </c>
      <c r="M37" s="215">
        <v>2032</v>
      </c>
      <c r="N37" s="215">
        <v>2033</v>
      </c>
      <c r="O37" s="215">
        <v>2034</v>
      </c>
      <c r="P37" s="215">
        <v>2035</v>
      </c>
      <c r="Q37" s="215">
        <v>2036</v>
      </c>
    </row>
    <row r="38" ht="13.5" customHeight="1" spans="2:17">
      <c r="B38" s="3" t="s">
        <v>241</v>
      </c>
      <c r="C38" s="320">
        <v>75058</v>
      </c>
      <c r="D38" s="66">
        <v>90724</v>
      </c>
      <c r="E38" s="66">
        <v>92411</v>
      </c>
      <c r="F38" s="66">
        <v>94397</v>
      </c>
      <c r="G38" s="66">
        <v>100167</v>
      </c>
      <c r="H38" s="16">
        <f t="shared" ref="H38:Q38" si="14">G38*(1+H$39)</f>
        <v>106726.166095493</v>
      </c>
      <c r="I38" s="16">
        <f t="shared" si="14"/>
        <v>112697.600579055</v>
      </c>
      <c r="J38" s="16">
        <f t="shared" si="14"/>
        <v>117650.771517322</v>
      </c>
      <c r="K38" s="16">
        <f t="shared" si="14"/>
        <v>121409.829955942</v>
      </c>
      <c r="L38" s="16">
        <f t="shared" si="14"/>
        <v>123832.076067743</v>
      </c>
      <c r="M38" s="16">
        <f t="shared" si="14"/>
        <v>124816.663470862</v>
      </c>
      <c r="N38" s="16">
        <f t="shared" si="14"/>
        <v>124311.279355375</v>
      </c>
      <c r="O38" s="16">
        <f t="shared" si="14"/>
        <v>122316.206193757</v>
      </c>
      <c r="P38" s="16">
        <f t="shared" si="14"/>
        <v>118885.357510084</v>
      </c>
      <c r="Q38" s="16">
        <f t="shared" si="14"/>
        <v>114124.11645074</v>
      </c>
    </row>
    <row r="39" ht="13.5" customHeight="1" spans="2:17">
      <c r="C39" s="320"/>
      <c r="D39" s="386">
        <f>D38/C38-1</f>
        <v>0.208718590956327</v>
      </c>
      <c r="E39" s="386">
        <f>E38/D38-1</f>
        <v>0.0185948591331953</v>
      </c>
      <c r="F39" s="386">
        <f>F38/E38-1</f>
        <v>0.0214909480473104</v>
      </c>
      <c r="G39" s="386">
        <f>G38/F38-1</f>
        <v>0.0611248238821149</v>
      </c>
      <c r="H39" s="341">
        <f t="array" ref="H39:Q39">CHOOSE(Assumptions!D17,'Revenue Buildup'!H40:Q40,'Revenue Buildup'!H41:Q41,'Revenue Buildup'!H42:Q42)</f>
        <v>0.065482305504737</v>
      </c>
      <c r="I39" s="341">
        <v>0.0559509884222655</v>
      </c>
      <c r="J39" s="341">
        <v>0.0439509884222655</v>
      </c>
      <c r="K39" s="341">
        <v>0.0319509884222655</v>
      </c>
      <c r="L39" s="341">
        <v>0.0199509884222655</v>
      </c>
      <c r="M39" s="341">
        <v>0.00795098842226554</v>
      </c>
      <c r="N39" s="341">
        <v>-0.00404901157773446</v>
      </c>
      <c r="O39" s="341">
        <v>-0.0160490115777345</v>
      </c>
      <c r="P39" s="341">
        <v>-0.0280490115777345</v>
      </c>
      <c r="Q39" s="341">
        <v>-0.0400490115777345</v>
      </c>
    </row>
    <row r="40" ht="13.5" customHeight="1" spans="2:17">
      <c r="C40" s="320"/>
      <c r="D40" s="66"/>
      <c r="E40" s="66"/>
      <c r="F40" s="66"/>
      <c r="G40" s="66"/>
      <c r="H40" s="372">
        <f>H41+0.05</f>
        <v>0.115482305504737</v>
      </c>
      <c r="I40" s="372">
        <f>I41+MAX(0,(H40-H41)-Assumptions!$D$32)</f>
        <v>0.0959509884222655</v>
      </c>
      <c r="J40" s="372">
        <f>J41+MAX(0,(I40-I41)-Assumptions!$D$32)</f>
        <v>0.0739509884222656</v>
      </c>
      <c r="K40" s="372">
        <f>K41+MAX(0,(J40-J41)-Assumptions!$D$32)</f>
        <v>0.0519509884222656</v>
      </c>
      <c r="L40" s="372">
        <f>L41+MAX(0,(K40-K41)-Assumptions!$D$32)</f>
        <v>0.0299509884222656</v>
      </c>
      <c r="M40" s="372">
        <f>M41+MAX(0,(L40-L41)-Assumptions!$D$32)</f>
        <v>0.00795098842226555</v>
      </c>
      <c r="N40" s="372">
        <f>N41+MAX(0,(M40-M41)-Assumptions!$D$32)</f>
        <v>-0.00404901157773446</v>
      </c>
      <c r="O40" s="372">
        <f>O41+MAX(0,(N40-N41)-Assumptions!$D$32)</f>
        <v>-0.0160490115777345</v>
      </c>
      <c r="P40" s="372">
        <f>P41+MAX(0,(O40-O41)-Assumptions!$D$32)</f>
        <v>-0.0280490115777345</v>
      </c>
      <c r="Q40" s="372">
        <f>Q41+MAX(0,(P40-P41)-Assumptions!$D$32)</f>
        <v>-0.0400490115777345</v>
      </c>
    </row>
    <row r="41" ht="13.5" customHeight="1" spans="2:17">
      <c r="C41" s="320"/>
      <c r="D41" s="66"/>
      <c r="E41" s="66"/>
      <c r="F41" s="66"/>
      <c r="G41" s="66"/>
      <c r="H41" s="372">
        <f>AVERAGE(D39:G39)-0.012</f>
        <v>0.065482305504737</v>
      </c>
      <c r="I41" s="372">
        <f>(H41*(1+$H$32))-0.012</f>
        <v>0.0559509884222655</v>
      </c>
      <c r="J41" s="372">
        <f t="shared" ref="J41:Q41" si="15">I41-0.012</f>
        <v>0.0439509884222655</v>
      </c>
      <c r="K41" s="372">
        <f t="shared" si="15"/>
        <v>0.0319509884222655</v>
      </c>
      <c r="L41" s="372">
        <f t="shared" si="15"/>
        <v>0.0199509884222655</v>
      </c>
      <c r="M41" s="372">
        <f t="shared" si="15"/>
        <v>0.00795098842226554</v>
      </c>
      <c r="N41" s="372">
        <f t="shared" si="15"/>
        <v>-0.00404901157773446</v>
      </c>
      <c r="O41" s="372">
        <f t="shared" si="15"/>
        <v>-0.0160490115777345</v>
      </c>
      <c r="P41" s="372">
        <f t="shared" si="15"/>
        <v>-0.0280490115777345</v>
      </c>
      <c r="Q41" s="372">
        <f t="shared" si="15"/>
        <v>-0.0400490115777345</v>
      </c>
    </row>
    <row r="42" ht="13.5" customHeight="1" spans="2:17">
      <c r="C42" s="320"/>
      <c r="D42" s="66"/>
      <c r="E42" s="66"/>
      <c r="F42" s="66"/>
      <c r="G42" s="66"/>
      <c r="H42" s="372">
        <f t="shared" ref="H42:Q42" si="16">H41-0.05</f>
        <v>0.0154823055047369</v>
      </c>
      <c r="I42" s="372">
        <f t="shared" si="16"/>
        <v>0.00595098842226553</v>
      </c>
      <c r="J42" s="372">
        <f t="shared" si="16"/>
        <v>-0.00604901157773446</v>
      </c>
      <c r="K42" s="372">
        <f t="shared" si="16"/>
        <v>-0.0180490115777345</v>
      </c>
      <c r="L42" s="372">
        <f t="shared" si="16"/>
        <v>-0.0300490115777345</v>
      </c>
      <c r="M42" s="372">
        <f t="shared" si="16"/>
        <v>-0.0420490115777345</v>
      </c>
      <c r="N42" s="372">
        <f t="shared" si="16"/>
        <v>-0.0540490115777345</v>
      </c>
      <c r="O42" s="372">
        <f t="shared" si="16"/>
        <v>-0.0660490115777345</v>
      </c>
      <c r="P42" s="372">
        <f t="shared" si="16"/>
        <v>-0.0780490115777345</v>
      </c>
      <c r="Q42" s="372">
        <f t="shared" si="16"/>
        <v>-0.0900490115777345</v>
      </c>
    </row>
    <row r="43" ht="13.5" customHeight="1" spans="2:17">
      <c r="C43" s="320"/>
      <c r="D43" s="66"/>
      <c r="E43" s="66"/>
      <c r="F43" s="66"/>
      <c r="G43" s="66"/>
      <c r="H43" s="16"/>
      <c r="I43" s="16"/>
      <c r="J43" s="16"/>
      <c r="K43" s="16"/>
      <c r="L43" s="16"/>
      <c r="M43" s="16"/>
      <c r="N43" s="16"/>
      <c r="O43" s="16"/>
      <c r="P43" s="16"/>
      <c r="Q43" s="16"/>
    </row>
    <row r="44" ht="13.5" customHeight="1" spans="2:17">
      <c r="B44" s="3" t="s">
        <v>242</v>
      </c>
      <c r="C44" s="320">
        <v>30129</v>
      </c>
      <c r="D44" s="66">
        <v>37675</v>
      </c>
      <c r="E44" s="66">
        <v>42267</v>
      </c>
      <c r="F44" s="66">
        <v>48595</v>
      </c>
      <c r="G44" s="66">
        <v>57454</v>
      </c>
      <c r="H44" s="16">
        <f t="shared" ref="H44:Q44" si="17">G44*(1+H$45)</f>
        <v>66881.6056509708</v>
      </c>
      <c r="I44" s="16">
        <f t="shared" si="17"/>
        <v>78417.7444083856</v>
      </c>
      <c r="J44" s="16">
        <f t="shared" si="17"/>
        <v>91002.6923392176</v>
      </c>
      <c r="K44" s="16">
        <f t="shared" si="17"/>
        <v>104515.315562811</v>
      </c>
      <c r="L44" s="16">
        <f t="shared" si="17"/>
        <v>118780.189992829</v>
      </c>
      <c r="M44" s="16">
        <f t="shared" si="17"/>
        <v>133566.6573945</v>
      </c>
      <c r="N44" s="16">
        <f t="shared" si="17"/>
        <v>148591.032673891</v>
      </c>
      <c r="O44" s="16">
        <f t="shared" si="17"/>
        <v>163522.347017692</v>
      </c>
      <c r="P44" s="16">
        <f t="shared" si="17"/>
        <v>177991.780831862</v>
      </c>
      <c r="Q44" s="16">
        <f t="shared" si="17"/>
        <v>191605.655190907</v>
      </c>
    </row>
    <row r="45" ht="13.5" customHeight="1" spans="2:17">
      <c r="C45" s="320"/>
      <c r="D45" s="386">
        <f>D44/C44-1</f>
        <v>0.250456370938299</v>
      </c>
      <c r="E45" s="386">
        <f>E44/D44-1</f>
        <v>0.121884538818845</v>
      </c>
      <c r="F45" s="386">
        <f>F44/E44-1</f>
        <v>0.149714907611139</v>
      </c>
      <c r="G45" s="386">
        <f>G44/F44-1</f>
        <v>0.182302706039716</v>
      </c>
      <c r="H45" s="341">
        <f t="array" ref="H45:Q45">CHOOSE(Assumptions!D17,'Revenue Buildup'!H46:Q46,'Revenue Buildup'!H47:Q47,'Revenue Buildup'!H48:Q48)</f>
        <v>0.164089630852</v>
      </c>
      <c r="I45" s="341">
        <v>0.172485971966903</v>
      </c>
      <c r="J45" s="341">
        <v>0.160485971966903</v>
      </c>
      <c r="K45" s="341">
        <v>0.148485971966903</v>
      </c>
      <c r="L45" s="341">
        <v>0.136485971966903</v>
      </c>
      <c r="M45" s="341">
        <v>0.124485971966903</v>
      </c>
      <c r="N45" s="341">
        <v>0.112485971966903</v>
      </c>
      <c r="O45" s="341">
        <v>0.100485971966903</v>
      </c>
      <c r="P45" s="341">
        <v>0.0884859719669033</v>
      </c>
      <c r="Q45" s="341">
        <v>0.0764859719669033</v>
      </c>
    </row>
    <row r="46" ht="13.5" customHeight="1" spans="2:17">
      <c r="C46" s="320"/>
      <c r="D46" s="66"/>
      <c r="E46" s="66"/>
      <c r="F46" s="66"/>
      <c r="G46" s="66"/>
      <c r="H46" s="372">
        <f>H47+0.05</f>
        <v>0.214089630852</v>
      </c>
      <c r="I46" s="372">
        <f>I47+MAX(0,(H46-H47)-Assumptions!$D$32)</f>
        <v>0.212485971966903</v>
      </c>
      <c r="J46" s="372">
        <f>J47+MAX(0,(I46-I47)-Assumptions!$D$32)</f>
        <v>0.190485971966903</v>
      </c>
      <c r="K46" s="372">
        <f>K47+MAX(0,(J46-J47)-Assumptions!$D$32)</f>
        <v>0.168485971966903</v>
      </c>
      <c r="L46" s="372">
        <f>L47+MAX(0,(K46-K47)-Assumptions!$D$32)</f>
        <v>0.146485971966903</v>
      </c>
      <c r="M46" s="372">
        <f>M47+MAX(0,(L46-L47)-Assumptions!$D$32)</f>
        <v>0.124485971966903</v>
      </c>
      <c r="N46" s="372">
        <f>N47+MAX(0,(M46-M47)-Assumptions!$D$32)</f>
        <v>0.112485971966903</v>
      </c>
      <c r="O46" s="372">
        <f>O47+MAX(0,(N46-N47)-Assumptions!$D$32)</f>
        <v>0.100485971966903</v>
      </c>
      <c r="P46" s="372">
        <f>P47+MAX(0,(O46-O47)-Assumptions!$D$32)</f>
        <v>0.0884859719669033</v>
      </c>
      <c r="Q46" s="372">
        <f>Q47+MAX(0,(P46-P47)-Assumptions!$D$32)</f>
        <v>0.0764859719669033</v>
      </c>
    </row>
    <row r="47" ht="13.5" customHeight="1" spans="2:17">
      <c r="C47" s="320"/>
      <c r="D47" s="66"/>
      <c r="E47" s="66"/>
      <c r="F47" s="66"/>
      <c r="G47" s="66"/>
      <c r="H47" s="372">
        <f>AVERAGE(D45:G45)-0.012</f>
        <v>0.164089630852</v>
      </c>
      <c r="I47" s="372">
        <f>(H47*(1+$H$33))-0.012</f>
        <v>0.172485971966903</v>
      </c>
      <c r="J47" s="372">
        <f t="shared" ref="J47:Q47" si="18">I47-0.012</f>
        <v>0.160485971966903</v>
      </c>
      <c r="K47" s="372">
        <f t="shared" si="18"/>
        <v>0.148485971966903</v>
      </c>
      <c r="L47" s="372">
        <f t="shared" si="18"/>
        <v>0.136485971966903</v>
      </c>
      <c r="M47" s="372">
        <f t="shared" si="18"/>
        <v>0.124485971966903</v>
      </c>
      <c r="N47" s="372">
        <f t="shared" si="18"/>
        <v>0.112485971966903</v>
      </c>
      <c r="O47" s="372">
        <f t="shared" si="18"/>
        <v>0.100485971966903</v>
      </c>
      <c r="P47" s="372">
        <f t="shared" si="18"/>
        <v>0.0884859719669033</v>
      </c>
      <c r="Q47" s="372">
        <f t="shared" si="18"/>
        <v>0.0764859719669033</v>
      </c>
    </row>
    <row r="48" ht="13.5" customHeight="1" spans="2:17">
      <c r="C48" s="320"/>
      <c r="D48" s="66"/>
      <c r="E48" s="66"/>
      <c r="F48" s="66"/>
      <c r="G48" s="66"/>
      <c r="H48" s="372">
        <f t="shared" ref="H48:Q48" si="19">H47-0.05</f>
        <v>0.114089630852</v>
      </c>
      <c r="I48" s="372">
        <f t="shared" si="19"/>
        <v>0.122485971966903</v>
      </c>
      <c r="J48" s="372">
        <f t="shared" si="19"/>
        <v>0.110485971966903</v>
      </c>
      <c r="K48" s="372">
        <f t="shared" si="19"/>
        <v>0.0984859719669033</v>
      </c>
      <c r="L48" s="372">
        <f t="shared" si="19"/>
        <v>0.0864859719669033</v>
      </c>
      <c r="M48" s="372">
        <f t="shared" si="19"/>
        <v>0.0744859719669033</v>
      </c>
      <c r="N48" s="372">
        <f t="shared" si="19"/>
        <v>0.0624859719669033</v>
      </c>
      <c r="O48" s="372">
        <f t="shared" si="19"/>
        <v>0.0504859719669033</v>
      </c>
      <c r="P48" s="372">
        <f t="shared" si="19"/>
        <v>0.0384859719669033</v>
      </c>
      <c r="Q48" s="372">
        <f t="shared" si="19"/>
        <v>0.0264859719669033</v>
      </c>
    </row>
    <row r="49" ht="13.5" customHeight="1" spans="2:17">
      <c r="C49" s="320"/>
      <c r="D49" s="66"/>
      <c r="E49" s="66"/>
      <c r="F49" s="66"/>
      <c r="G49" s="66"/>
      <c r="H49" s="16"/>
      <c r="I49" s="16"/>
      <c r="J49" s="16"/>
      <c r="K49" s="16"/>
      <c r="L49" s="16"/>
      <c r="M49" s="16"/>
      <c r="N49" s="16"/>
      <c r="O49" s="16"/>
      <c r="P49" s="16"/>
      <c r="Q49" s="16"/>
    </row>
    <row r="50" ht="13.5" customHeight="1" spans="2:17">
      <c r="B50" s="3" t="s">
        <v>254</v>
      </c>
      <c r="C50" s="320">
        <v>3585</v>
      </c>
      <c r="D50" s="66">
        <v>3861</v>
      </c>
      <c r="E50" s="66">
        <v>3881</v>
      </c>
      <c r="F50" s="66">
        <v>5014</v>
      </c>
      <c r="G50" s="66">
        <v>5102</v>
      </c>
      <c r="H50" s="16">
        <f t="shared" ref="H50:Q50" si="20">G50*(1+H$51)</f>
        <v>5540.32988460691</v>
      </c>
      <c r="I50" s="16">
        <f t="shared" si="20"/>
        <v>5965.92260062476</v>
      </c>
      <c r="J50" s="16">
        <f t="shared" si="20"/>
        <v>6352.61709291893</v>
      </c>
      <c r="K50" s="16">
        <f t="shared" si="20"/>
        <v>6688.14464043066</v>
      </c>
      <c r="L50" s="16">
        <f t="shared" si="20"/>
        <v>6961.13608312094</v>
      </c>
      <c r="M50" s="16">
        <f t="shared" si="20"/>
        <v>7161.73664342529</v>
      </c>
      <c r="N50" s="16">
        <f t="shared" si="20"/>
        <v>7282.17711363243</v>
      </c>
      <c r="O50" s="16">
        <f t="shared" si="20"/>
        <v>7317.25693184732</v>
      </c>
      <c r="P50" s="16">
        <f t="shared" si="20"/>
        <v>7264.6986539325</v>
      </c>
      <c r="Q50" s="16">
        <f t="shared" si="20"/>
        <v>7125.34150694183</v>
      </c>
    </row>
    <row r="51" ht="13.5" customHeight="1" spans="2:17">
      <c r="C51" s="320"/>
      <c r="D51" s="386">
        <f>D50/C50-1</f>
        <v>0.0769874476987447</v>
      </c>
      <c r="E51" s="386">
        <f>E50/D50-1</f>
        <v>0.00518000518000528</v>
      </c>
      <c r="F51" s="386">
        <f>F50/E50-1</f>
        <v>0.291935068281371</v>
      </c>
      <c r="G51" s="386">
        <f>G50/F50-1</f>
        <v>0.0175508575987235</v>
      </c>
      <c r="H51" s="341">
        <f t="array" ref="H51:Q51">CHOOSE(Assumptions!D17,'Revenue Buildup'!H52:Q52,'Revenue Buildup'!H53:Q53,'Revenue Buildup'!H54:Q54)</f>
        <v>0.0859133446897111</v>
      </c>
      <c r="I51" s="341">
        <v>0.0768172157402233</v>
      </c>
      <c r="J51" s="341">
        <v>0.0648172157402233</v>
      </c>
      <c r="K51" s="341">
        <v>0.0528172157402233</v>
      </c>
      <c r="L51" s="341">
        <v>0.0408172157402233</v>
      </c>
      <c r="M51" s="341">
        <v>0.0288172157402233</v>
      </c>
      <c r="N51" s="341">
        <v>0.0168172157402233</v>
      </c>
      <c r="O51" s="341">
        <v>0.00481721574022333</v>
      </c>
      <c r="P51" s="341">
        <v>-0.00718278425977667</v>
      </c>
      <c r="Q51" s="341">
        <v>-0.0191827842597767</v>
      </c>
    </row>
    <row r="52" ht="13.5" customHeight="1" spans="2:17">
      <c r="C52" s="320"/>
      <c r="D52" s="66"/>
      <c r="E52" s="66"/>
      <c r="F52" s="66"/>
      <c r="G52" s="66"/>
      <c r="H52" s="372">
        <f>H53+0.05</f>
        <v>0.135913344689711</v>
      </c>
      <c r="I52" s="372">
        <f>I53+MAX(0,(H52-H53)-Assumptions!$D$32)</f>
        <v>0.116817215740223</v>
      </c>
      <c r="J52" s="372">
        <f>J53+MAX(0,(I52-I53)-Assumptions!$D$32)</f>
        <v>0.0948172157402233</v>
      </c>
      <c r="K52" s="372">
        <f>K53+MAX(0,(J52-J53)-Assumptions!$D$32)</f>
        <v>0.0728172157402233</v>
      </c>
      <c r="L52" s="372">
        <f>L53+MAX(0,(K52-K53)-Assumptions!$D$32)</f>
        <v>0.0508172157402233</v>
      </c>
      <c r="M52" s="372">
        <f>M53+MAX(0,(L52-L53)-Assumptions!$D$32)</f>
        <v>0.0288172157402233</v>
      </c>
      <c r="N52" s="372">
        <f>N53+MAX(0,(M52-M53)-Assumptions!$D$32)</f>
        <v>0.0168172157402233</v>
      </c>
      <c r="O52" s="372">
        <f>O53+MAX(0,(N52-N53)-Assumptions!$D$32)</f>
        <v>0.00481721574022333</v>
      </c>
      <c r="P52" s="372">
        <f>P53+MAX(0,(O52-O53)-Assumptions!$D$32)</f>
        <v>-0.00718278425977667</v>
      </c>
      <c r="Q52" s="372">
        <f>Q53+MAX(0,(P52-P53)-Assumptions!$D$32)</f>
        <v>-0.0191827842597767</v>
      </c>
    </row>
    <row r="53" ht="13.5" customHeight="1" spans="2:17">
      <c r="C53" s="320"/>
      <c r="D53" s="66"/>
      <c r="E53" s="66"/>
      <c r="F53" s="66"/>
      <c r="G53" s="66"/>
      <c r="H53" s="372">
        <f>AVERAGE(D51:G51)-0.012</f>
        <v>0.0859133446897111</v>
      </c>
      <c r="I53" s="372">
        <f>(H53*(1+$H$34))-0.012</f>
        <v>0.0768172157402233</v>
      </c>
      <c r="J53" s="372">
        <f t="shared" ref="J53:Q53" si="21">I53-0.012</f>
        <v>0.0648172157402233</v>
      </c>
      <c r="K53" s="372">
        <f t="shared" si="21"/>
        <v>0.0528172157402233</v>
      </c>
      <c r="L53" s="372">
        <f t="shared" si="21"/>
        <v>0.0408172157402233</v>
      </c>
      <c r="M53" s="372">
        <f t="shared" si="21"/>
        <v>0.0288172157402233</v>
      </c>
      <c r="N53" s="372">
        <f t="shared" si="21"/>
        <v>0.0168172157402233</v>
      </c>
      <c r="O53" s="372">
        <f t="shared" si="21"/>
        <v>0.00481721574022333</v>
      </c>
      <c r="P53" s="372">
        <f t="shared" si="21"/>
        <v>-0.00718278425977667</v>
      </c>
      <c r="Q53" s="372">
        <f t="shared" si="21"/>
        <v>-0.0191827842597767</v>
      </c>
    </row>
    <row r="54" ht="13.5" customHeight="1" spans="2:17">
      <c r="C54" s="320"/>
      <c r="D54" s="66"/>
      <c r="E54" s="66"/>
      <c r="F54" s="66"/>
      <c r="G54" s="66"/>
      <c r="H54" s="372">
        <f t="shared" ref="H54:Q54" si="22">H53-0.05</f>
        <v>0.0359133446897111</v>
      </c>
      <c r="I54" s="372">
        <f t="shared" si="22"/>
        <v>0.0268172157402233</v>
      </c>
      <c r="J54" s="372">
        <f t="shared" si="22"/>
        <v>0.0148172157402233</v>
      </c>
      <c r="K54" s="372">
        <f t="shared" si="22"/>
        <v>0.00281721574022332</v>
      </c>
      <c r="L54" s="372">
        <f t="shared" si="22"/>
        <v>-0.00918278425977667</v>
      </c>
      <c r="M54" s="372">
        <f t="shared" si="22"/>
        <v>-0.0211827842597767</v>
      </c>
      <c r="N54" s="372">
        <f t="shared" si="22"/>
        <v>-0.0331827842597767</v>
      </c>
      <c r="O54" s="372">
        <f t="shared" si="22"/>
        <v>-0.0451827842597767</v>
      </c>
      <c r="P54" s="372">
        <f t="shared" si="22"/>
        <v>-0.0571827842597767</v>
      </c>
      <c r="Q54" s="372">
        <f t="shared" si="22"/>
        <v>-0.0691827842597767</v>
      </c>
    </row>
    <row r="55" ht="13.5" customHeight="1" spans="2:17">
      <c r="C55" s="320"/>
      <c r="D55" s="66"/>
      <c r="E55" s="66"/>
      <c r="F55" s="66"/>
      <c r="G55" s="66"/>
      <c r="H55" s="16"/>
      <c r="I55" s="16"/>
      <c r="J55" s="16"/>
      <c r="K55" s="16"/>
      <c r="L55" s="16"/>
      <c r="M55" s="16"/>
      <c r="N55" s="16"/>
      <c r="O55" s="16"/>
      <c r="P55" s="16"/>
      <c r="Q55" s="16"/>
    </row>
    <row r="56" ht="13.5" customHeight="1" spans="2:17">
      <c r="B56" s="3" t="s">
        <v>55</v>
      </c>
      <c r="C56" s="320">
        <v>12869</v>
      </c>
      <c r="D56" s="66">
        <v>14507</v>
      </c>
      <c r="E56" s="66">
        <v>15111</v>
      </c>
      <c r="F56" s="66">
        <v>14984</v>
      </c>
      <c r="G56" s="66">
        <v>15927</v>
      </c>
      <c r="H56" s="16">
        <f t="shared" ref="H56:Q56" si="23">G56*(1+H$57)</f>
        <v>16625.5861414338</v>
      </c>
      <c r="I56" s="16">
        <f t="shared" si="23"/>
        <v>17347.3120243986</v>
      </c>
      <c r="J56" s="16">
        <f t="shared" si="23"/>
        <v>17892.2006825308</v>
      </c>
      <c r="K56" s="16">
        <f t="shared" si="23"/>
        <v>18239.4981863715</v>
      </c>
      <c r="L56" s="16">
        <f t="shared" si="23"/>
        <v>18374.6629484684</v>
      </c>
      <c r="M56" s="16">
        <f t="shared" si="23"/>
        <v>18290.3334007732</v>
      </c>
      <c r="N56" s="16">
        <f t="shared" si="23"/>
        <v>17986.9068782857</v>
      </c>
      <c r="O56" s="16">
        <f t="shared" si="23"/>
        <v>17472.6711515702</v>
      </c>
      <c r="P56" s="16">
        <f t="shared" si="23"/>
        <v>16763.4650862568</v>
      </c>
      <c r="Q56" s="16">
        <f t="shared" si="23"/>
        <v>15881.8837221381</v>
      </c>
    </row>
    <row r="57" ht="13.5" customHeight="1" spans="2:17">
      <c r="C57" s="320"/>
      <c r="D57" s="386">
        <f>D56/C56-1</f>
        <v>0.127282617141969</v>
      </c>
      <c r="E57" s="386">
        <f>E56/D56-1</f>
        <v>0.0416350727235129</v>
      </c>
      <c r="F57" s="386">
        <f>F56/E56-1</f>
        <v>-0.00840447356230556</v>
      </c>
      <c r="G57" s="386">
        <f>G56/F56-1</f>
        <v>0.062933796049119</v>
      </c>
      <c r="H57" s="341">
        <f t="array" ref="H57:Q57">CHOOSE(Assumptions!D17,'Revenue Buildup'!H58:Q58,'Revenue Buildup'!H59:Q59,'Revenue Buildup'!H60:Q60)</f>
        <v>0.0438617530880738</v>
      </c>
      <c r="I57" s="341">
        <v>0.0434105526761637</v>
      </c>
      <c r="J57" s="341">
        <v>0.0314105526761637</v>
      </c>
      <c r="K57" s="341">
        <v>0.0194105526761637</v>
      </c>
      <c r="L57" s="341">
        <v>0.00741055267616366</v>
      </c>
      <c r="M57" s="341">
        <v>-0.00458944732383634</v>
      </c>
      <c r="N57" s="341">
        <v>-0.0165894473238363</v>
      </c>
      <c r="O57" s="341">
        <v>-0.0285894473238363</v>
      </c>
      <c r="P57" s="341">
        <v>-0.0405894473238363</v>
      </c>
      <c r="Q57" s="341">
        <v>-0.0525894473238363</v>
      </c>
    </row>
    <row r="58" ht="13.5" customHeight="1" spans="2:17">
      <c r="C58" s="320"/>
      <c r="D58" s="66"/>
      <c r="E58" s="66"/>
      <c r="F58" s="66"/>
      <c r="G58" s="66"/>
      <c r="H58" s="372">
        <f>H59+0.05</f>
        <v>0.0938617530880738</v>
      </c>
      <c r="I58" s="372">
        <f>I59+MAX(0,(H58-H59)-Assumptions!$D$32)</f>
        <v>0.0834105526761637</v>
      </c>
      <c r="J58" s="372">
        <f>J59+MAX(0,(I58-I59)-Assumptions!$D$32)</f>
        <v>0.0614105526761637</v>
      </c>
      <c r="K58" s="372">
        <f>K59+MAX(0,(J58-J59)-Assumptions!$D$32)</f>
        <v>0.0394105526761637</v>
      </c>
      <c r="L58" s="372">
        <f>L59+MAX(0,(K58-K59)-Assumptions!$D$32)</f>
        <v>0.0174105526761637</v>
      </c>
      <c r="M58" s="372">
        <f>M59+MAX(0,(L58-L59)-Assumptions!$D$32)</f>
        <v>-0.00458944732383634</v>
      </c>
      <c r="N58" s="372">
        <f>N59+MAX(0,(M58-M59)-Assumptions!$D$32)</f>
        <v>-0.0165894473238363</v>
      </c>
      <c r="O58" s="372">
        <f>O59+MAX(0,(N58-N59)-Assumptions!$D$32)</f>
        <v>-0.0285894473238363</v>
      </c>
      <c r="P58" s="372">
        <f>P59+MAX(0,(O58-O59)-Assumptions!$D$32)</f>
        <v>-0.0405894473238363</v>
      </c>
      <c r="Q58" s="372">
        <f>Q59+MAX(0,(P58-P59)-Assumptions!$D$32)</f>
        <v>-0.0525894473238363</v>
      </c>
    </row>
    <row r="59" ht="13.5" customHeight="1" spans="2:17">
      <c r="C59" s="320"/>
      <c r="D59" s="66"/>
      <c r="E59" s="66"/>
      <c r="F59" s="66"/>
      <c r="G59" s="66"/>
      <c r="H59" s="372">
        <f>AVERAGE(D57:G57)-0.012</f>
        <v>0.0438617530880738</v>
      </c>
      <c r="I59" s="372">
        <f>(H59*(1+$H$35))-0.012</f>
        <v>0.0434105526761637</v>
      </c>
      <c r="J59" s="372">
        <f t="shared" ref="J59:Q59" si="24">I59-0.012</f>
        <v>0.0314105526761637</v>
      </c>
      <c r="K59" s="372">
        <f t="shared" si="24"/>
        <v>0.0194105526761637</v>
      </c>
      <c r="L59" s="372">
        <f t="shared" si="24"/>
        <v>0.00741055267616366</v>
      </c>
      <c r="M59" s="372">
        <f t="shared" si="24"/>
        <v>-0.00458944732383634</v>
      </c>
      <c r="N59" s="372">
        <f t="shared" si="24"/>
        <v>-0.0165894473238363</v>
      </c>
      <c r="O59" s="372">
        <f t="shared" si="24"/>
        <v>-0.0285894473238363</v>
      </c>
      <c r="P59" s="372">
        <f t="shared" si="24"/>
        <v>-0.0405894473238363</v>
      </c>
      <c r="Q59" s="372">
        <f t="shared" si="24"/>
        <v>-0.0525894473238363</v>
      </c>
    </row>
    <row r="60" ht="13.5" customHeight="1" spans="2:17">
      <c r="C60" s="320"/>
      <c r="D60" s="66"/>
      <c r="E60" s="66"/>
      <c r="F60" s="66"/>
      <c r="G60" s="66"/>
      <c r="H60" s="372">
        <f t="shared" ref="H60:Q60" si="25">H59-0.05</f>
        <v>-0.00613824691192619</v>
      </c>
      <c r="I60" s="372">
        <f t="shared" si="25"/>
        <v>-0.00658944732383634</v>
      </c>
      <c r="J60" s="372">
        <f t="shared" si="25"/>
        <v>-0.0185894473238363</v>
      </c>
      <c r="K60" s="372">
        <f t="shared" si="25"/>
        <v>-0.0305894473238363</v>
      </c>
      <c r="L60" s="372">
        <f t="shared" si="25"/>
        <v>-0.0425894473238363</v>
      </c>
      <c r="M60" s="372">
        <f t="shared" si="25"/>
        <v>-0.0545894473238363</v>
      </c>
      <c r="N60" s="372">
        <f t="shared" si="25"/>
        <v>-0.0665894473238363</v>
      </c>
      <c r="O60" s="372">
        <f t="shared" si="25"/>
        <v>-0.0785894473238363</v>
      </c>
      <c r="P60" s="372">
        <f t="shared" si="25"/>
        <v>-0.0905894473238363</v>
      </c>
      <c r="Q60" s="372">
        <f t="shared" si="25"/>
        <v>-0.102589447323836</v>
      </c>
    </row>
    <row r="61" ht="13.5" customHeight="1" spans="2:17">
      <c r="C61" s="320"/>
      <c r="D61" s="66"/>
      <c r="E61" s="66"/>
      <c r="F61" s="66"/>
      <c r="G61" s="66"/>
      <c r="H61" s="16"/>
      <c r="I61" s="16"/>
      <c r="J61" s="16"/>
      <c r="K61" s="16"/>
      <c r="L61" s="16"/>
      <c r="M61" s="16"/>
      <c r="N61" s="16"/>
      <c r="O61" s="16"/>
      <c r="P61" s="16"/>
      <c r="Q61" s="16"/>
    </row>
    <row r="62" ht="13.5" customHeight="1" spans="2:17">
      <c r="C62" s="279">
        <f t="shared" ref="C62:Q62" si="26">SUM(C38,C44,C50,C56)</f>
        <v>121641</v>
      </c>
      <c r="D62" s="18">
        <f t="shared" si="26"/>
        <v>146767</v>
      </c>
      <c r="E62" s="18">
        <f t="shared" si="26"/>
        <v>153670</v>
      </c>
      <c r="F62" s="18">
        <f t="shared" si="26"/>
        <v>162990</v>
      </c>
      <c r="G62" s="18">
        <f t="shared" si="26"/>
        <v>178650</v>
      </c>
      <c r="H62" s="271">
        <f t="shared" si="26"/>
        <v>195773.687772504</v>
      </c>
      <c r="I62" s="271">
        <f t="shared" si="26"/>
        <v>214428.579612464</v>
      </c>
      <c r="J62" s="271">
        <f t="shared" si="26"/>
        <v>232898.281631989</v>
      </c>
      <c r="K62" s="271">
        <f t="shared" si="26"/>
        <v>250852.788345556</v>
      </c>
      <c r="L62" s="271">
        <f t="shared" si="26"/>
        <v>267948.065092161</v>
      </c>
      <c r="M62" s="271">
        <f t="shared" si="26"/>
        <v>283835.390909561</v>
      </c>
      <c r="N62" s="271">
        <f t="shared" si="26"/>
        <v>298171.396021183</v>
      </c>
      <c r="O62" s="271">
        <f t="shared" si="26"/>
        <v>310628.481294867</v>
      </c>
      <c r="P62" s="271">
        <f t="shared" si="26"/>
        <v>320905.302082135</v>
      </c>
      <c r="Q62" s="271">
        <f t="shared" si="26"/>
        <v>328736.996870727</v>
      </c>
    </row>
    <row r="63" ht="13.5" customHeight="1"/>
    <row r="65" ht="13.5" customHeight="1" spans="3:8">
      <c r="C65" s="22"/>
      <c r="D65" s="22"/>
      <c r="E65" s="22"/>
      <c r="F65" s="22"/>
      <c r="G65" s="22"/>
      <c r="H65" s="22"/>
    </row>
    <row r="66" ht="13.5" customHeight="1" spans="3:8">
      <c r="C66" s="22"/>
      <c r="D66" s="22"/>
      <c r="E66" s="22"/>
      <c r="F66" s="22"/>
      <c r="G66" s="22"/>
      <c r="H66" s="22"/>
    </row>
    <row r="67" ht="13.5" customHeight="1" spans="3:8">
      <c r="C67" s="22"/>
      <c r="D67" s="22"/>
      <c r="E67" s="22"/>
      <c r="F67" s="22"/>
      <c r="G67" s="22"/>
      <c r="H67" s="22"/>
    </row>
  </sheetData>
  <mergeCells count="5">
    <mergeCell ref="P6:Q6"/>
    <mergeCell ref="B7:Q7"/>
    <mergeCell ref="B8:B9"/>
    <mergeCell ref="B28:B29"/>
    <mergeCell ref="B2:D4"/>
  </mergeCells>
  <hyperlinks>
    <hyperlink ref="B31" r:id="rId2" display="IT Sector Growth Projection"/>
  </hyperlinks>
  <pageMargins left="0.7" right="0.7" top="0.75" bottom="0.75" header="0.511811023622047" footer="0.511811023622047"/>
  <pageSetup paperSize="1" orientation="portrait" horizontalDpi="300" verticalDpi="300"/>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AC090"/>
  </sheetPr>
  <dimension ref="A2:Q43"/>
  <sheetViews>
    <sheetView showGridLines="0" zoomScale="73" zoomScaleNormal="73" workbookViewId="0">
      <selection activeCell="D37" sqref="D37"/>
    </sheetView>
  </sheetViews>
  <sheetFormatPr defaultColWidth="8.83333333333333" defaultRowHeight="13.8"/>
  <cols>
    <col min="1" max="1" width="5" style="3" customWidth="1"/>
    <col min="2" max="2" width="27.5" style="3" customWidth="1"/>
    <col min="3" max="10" width="13.1666666666667" style="3" customWidth="1"/>
    <col min="11" max="17" width="14.3333333333333" style="3" customWidth="1"/>
    <col min="18" max="16384" width="8.83333333333333" style="3"/>
  </cols>
  <sheetData>
    <row r="2" ht="13.5" customHeight="1" spans="2:17">
      <c r="B2" s="173" t="s">
        <v>21</v>
      </c>
      <c r="C2" s="173"/>
      <c r="D2" s="173"/>
    </row>
    <row r="3" ht="13.5" customHeight="1" spans="2:17">
      <c r="B3" s="173"/>
      <c r="C3" s="173"/>
      <c r="D3" s="173"/>
    </row>
    <row r="4" ht="13.5" customHeight="1" spans="2:17">
      <c r="B4" s="173"/>
      <c r="C4" s="173"/>
      <c r="D4" s="173"/>
    </row>
    <row r="6" ht="14.25" customHeight="1" spans="2:17">
      <c r="P6" s="5" t="s">
        <v>83</v>
      </c>
      <c r="Q6" s="5"/>
    </row>
    <row r="7" ht="15" customHeight="1" spans="2:17">
      <c r="B7" s="261" t="s">
        <v>255</v>
      </c>
      <c r="C7" s="261"/>
      <c r="D7" s="261"/>
      <c r="E7" s="261"/>
      <c r="F7" s="261"/>
      <c r="G7" s="261"/>
      <c r="H7" s="261"/>
      <c r="I7" s="261"/>
      <c r="J7" s="261"/>
      <c r="K7" s="261"/>
      <c r="L7" s="261"/>
      <c r="M7" s="261"/>
      <c r="N7" s="261"/>
      <c r="O7" s="261"/>
      <c r="P7" s="261"/>
      <c r="Q7" s="261"/>
    </row>
    <row r="8" ht="14.25" customHeight="1" spans="2:17">
      <c r="B8" s="311" t="s">
        <v>39</v>
      </c>
      <c r="C8" s="9">
        <f>'Revenue Buildup'!C8</f>
        <v>2022</v>
      </c>
      <c r="D8" s="9">
        <f>'Revenue Buildup'!D8</f>
        <v>2023</v>
      </c>
      <c r="E8" s="9">
        <f>'Revenue Buildup'!E8</f>
        <v>2024</v>
      </c>
      <c r="F8" s="9">
        <f>'Revenue Buildup'!F8</f>
        <v>2025</v>
      </c>
      <c r="G8" s="9">
        <f>'Revenue Buildup'!G8</f>
        <v>2026</v>
      </c>
      <c r="H8" s="10">
        <f>'Revenue Buildup'!H8</f>
        <v>2027</v>
      </c>
      <c r="I8" s="10">
        <f>'Revenue Buildup'!I8</f>
        <v>2028</v>
      </c>
      <c r="J8" s="10">
        <f>'Revenue Buildup'!J8</f>
        <v>2029</v>
      </c>
      <c r="K8" s="10">
        <f>'Revenue Buildup'!K8</f>
        <v>2030</v>
      </c>
      <c r="L8" s="10">
        <f>'Revenue Buildup'!L8</f>
        <v>2031</v>
      </c>
      <c r="M8" s="10">
        <f>'Revenue Buildup'!M8</f>
        <v>2032</v>
      </c>
      <c r="N8" s="10">
        <f>'Revenue Buildup'!N8</f>
        <v>2033</v>
      </c>
      <c r="O8" s="10">
        <f>'Revenue Buildup'!O8</f>
        <v>2034</v>
      </c>
      <c r="P8" s="10">
        <f>'Revenue Buildup'!P8</f>
        <v>2035</v>
      </c>
      <c r="Q8" s="10">
        <f>'Revenue Buildup'!Q8</f>
        <v>2036</v>
      </c>
    </row>
    <row r="9" s="280" customFormat="1" ht="13.5" customHeight="1" spans="2:17">
      <c r="B9" s="311"/>
      <c r="C9" s="11" t="s">
        <v>84</v>
      </c>
      <c r="D9" s="11" t="s">
        <v>84</v>
      </c>
      <c r="E9" s="11" t="s">
        <v>84</v>
      </c>
      <c r="F9" s="11" t="s">
        <v>84</v>
      </c>
      <c r="G9" s="11" t="s">
        <v>84</v>
      </c>
      <c r="H9" s="12" t="s">
        <v>234</v>
      </c>
      <c r="I9" s="12" t="s">
        <v>235</v>
      </c>
      <c r="J9" s="12" t="s">
        <v>235</v>
      </c>
      <c r="K9" s="12" t="s">
        <v>235</v>
      </c>
      <c r="L9" s="12" t="s">
        <v>235</v>
      </c>
      <c r="M9" s="12" t="s">
        <v>235</v>
      </c>
      <c r="N9" s="12" t="s">
        <v>235</v>
      </c>
      <c r="O9" s="12" t="s">
        <v>235</v>
      </c>
      <c r="P9" s="12" t="s">
        <v>235</v>
      </c>
      <c r="Q9" s="12" t="s">
        <v>235</v>
      </c>
    </row>
    <row r="10" ht="13.5" customHeight="1" spans="2:17">
      <c r="B10" s="213"/>
      <c r="H10" s="13"/>
      <c r="I10" s="13"/>
      <c r="J10" s="13"/>
      <c r="K10" s="13"/>
      <c r="L10" s="13"/>
      <c r="M10" s="13"/>
      <c r="N10" s="13"/>
      <c r="O10" s="13"/>
      <c r="P10" s="13"/>
      <c r="Q10" s="13"/>
    </row>
    <row r="11" s="1" customFormat="1" ht="13.5" customHeight="1" spans="2:17">
      <c r="B11" s="268" t="str">
        <f>'Revenue Buildup'!B15</f>
        <v>Revenue from Operations</v>
      </c>
      <c r="C11" s="269">
        <f>'Revenue Buildup'!C15</f>
        <v>121641</v>
      </c>
      <c r="D11" s="270">
        <f>'Revenue Buildup'!D15</f>
        <v>146767</v>
      </c>
      <c r="E11" s="270">
        <f>'Revenue Buildup'!E15</f>
        <v>153670</v>
      </c>
      <c r="F11" s="270">
        <f>'Revenue Buildup'!F15</f>
        <v>162990</v>
      </c>
      <c r="G11" s="270">
        <f>'Revenue Buildup'!G15</f>
        <v>178650</v>
      </c>
      <c r="H11" s="271">
        <f>'Revenue Buildup'!H15</f>
        <v>195773.687772504</v>
      </c>
      <c r="I11" s="271">
        <f>'Revenue Buildup'!I15</f>
        <v>214428.579612464</v>
      </c>
      <c r="J11" s="271">
        <f>'Revenue Buildup'!J15</f>
        <v>232898.281631989</v>
      </c>
      <c r="K11" s="271">
        <f>'Revenue Buildup'!K15</f>
        <v>250852.788345556</v>
      </c>
      <c r="L11" s="271">
        <f>'Revenue Buildup'!L15</f>
        <v>267948.065092161</v>
      </c>
      <c r="M11" s="271">
        <f>'Revenue Buildup'!M15</f>
        <v>283835.390909561</v>
      </c>
      <c r="N11" s="271">
        <f>'Revenue Buildup'!N15</f>
        <v>298171.396021183</v>
      </c>
      <c r="O11" s="271">
        <f>'Revenue Buildup'!O15</f>
        <v>310628.481294867</v>
      </c>
      <c r="P11" s="271">
        <f>'Revenue Buildup'!P15</f>
        <v>320905.302082135</v>
      </c>
      <c r="Q11" s="271">
        <f>'Revenue Buildup'!Q15</f>
        <v>328736.996870727</v>
      </c>
    </row>
    <row r="12" s="1" customFormat="1" ht="13.5" customHeight="1" spans="2:17">
      <c r="B12" s="268"/>
      <c r="C12" s="353"/>
      <c r="D12" s="353"/>
      <c r="E12" s="353"/>
      <c r="F12" s="353"/>
      <c r="G12" s="353"/>
      <c r="H12" s="287"/>
      <c r="I12" s="287"/>
      <c r="J12" s="287"/>
      <c r="K12" s="287"/>
      <c r="L12" s="287"/>
      <c r="M12" s="287"/>
      <c r="N12" s="287"/>
      <c r="O12" s="287"/>
      <c r="P12" s="287"/>
      <c r="Q12" s="287"/>
    </row>
    <row r="13" ht="14.25" customHeight="1" spans="2:17">
      <c r="B13" s="284" t="s">
        <v>227</v>
      </c>
      <c r="C13" s="66">
        <f>'P&amp;L Input'!C17</f>
        <v>63986</v>
      </c>
      <c r="D13" s="66">
        <f>'P&amp;L Input'!D17</f>
        <v>78359</v>
      </c>
      <c r="E13" s="66">
        <f>'P&amp;L Input'!E17</f>
        <v>82620</v>
      </c>
      <c r="F13" s="66">
        <f>'P&amp;L Input'!F17</f>
        <v>85950</v>
      </c>
      <c r="G13" s="66">
        <f>'P&amp;L Input'!G17</f>
        <v>95094</v>
      </c>
      <c r="H13" s="16">
        <f t="shared" ref="H13:Q13" si="0">H11*H14</f>
        <v>104041.76234016</v>
      </c>
      <c r="I13" s="16">
        <f t="shared" si="0"/>
        <v>113955.69840265</v>
      </c>
      <c r="J13" s="16">
        <f t="shared" si="0"/>
        <v>123771.217382106</v>
      </c>
      <c r="K13" s="16">
        <f t="shared" si="0"/>
        <v>133312.941511032</v>
      </c>
      <c r="L13" s="16">
        <f t="shared" si="0"/>
        <v>142398.037371699</v>
      </c>
      <c r="M13" s="16">
        <f t="shared" si="0"/>
        <v>150841.181063385</v>
      </c>
      <c r="N13" s="16">
        <f t="shared" si="0"/>
        <v>158459.892513843</v>
      </c>
      <c r="O13" s="16">
        <f t="shared" si="0"/>
        <v>165080.072785473</v>
      </c>
      <c r="P13" s="16">
        <f t="shared" si="0"/>
        <v>170541.575595819</v>
      </c>
      <c r="Q13" s="16">
        <f t="shared" si="0"/>
        <v>174703.643221894</v>
      </c>
    </row>
    <row r="14" s="280" customFormat="1" ht="13.5" customHeight="1" spans="2:17">
      <c r="B14" s="354"/>
      <c r="C14" s="319">
        <f>C13/C$11</f>
        <v>0.526023298065619</v>
      </c>
      <c r="D14" s="319">
        <f>D13/D$11</f>
        <v>0.533900672494498</v>
      </c>
      <c r="E14" s="319">
        <f>E13/E$11</f>
        <v>0.537645604216828</v>
      </c>
      <c r="F14" s="319">
        <f>F13/F$11</f>
        <v>0.52733296521259</v>
      </c>
      <c r="G14" s="319">
        <f>G13/G$11</f>
        <v>0.532292191435768</v>
      </c>
      <c r="H14" s="313">
        <f>AVERAGE(C14:G14)</f>
        <v>0.531438946285061</v>
      </c>
      <c r="I14" s="313">
        <f t="shared" ref="I14:Q14" si="1">H14</f>
        <v>0.531438946285061</v>
      </c>
      <c r="J14" s="313">
        <f t="shared" si="1"/>
        <v>0.531438946285061</v>
      </c>
      <c r="K14" s="313">
        <f t="shared" si="1"/>
        <v>0.531438946285061</v>
      </c>
      <c r="L14" s="313">
        <f t="shared" si="1"/>
        <v>0.531438946285061</v>
      </c>
      <c r="M14" s="313">
        <f t="shared" si="1"/>
        <v>0.531438946285061</v>
      </c>
      <c r="N14" s="313">
        <f t="shared" si="1"/>
        <v>0.531438946285061</v>
      </c>
      <c r="O14" s="313">
        <f t="shared" si="1"/>
        <v>0.531438946285061</v>
      </c>
      <c r="P14" s="313">
        <f t="shared" si="1"/>
        <v>0.531438946285061</v>
      </c>
      <c r="Q14" s="313">
        <f t="shared" si="1"/>
        <v>0.531438946285061</v>
      </c>
    </row>
    <row r="15" s="280" customFormat="1" ht="13.5" customHeight="1" spans="2:17">
      <c r="B15" s="354"/>
      <c r="C15" s="319"/>
      <c r="D15" s="319"/>
      <c r="E15" s="319"/>
      <c r="F15" s="319"/>
      <c r="G15" s="319"/>
      <c r="H15" s="355"/>
      <c r="I15" s="355"/>
      <c r="J15" s="355"/>
      <c r="K15" s="355"/>
      <c r="L15" s="355"/>
      <c r="M15" s="355"/>
      <c r="N15" s="355"/>
      <c r="O15" s="355"/>
      <c r="P15" s="355"/>
      <c r="Q15" s="355"/>
    </row>
    <row r="16" ht="13.5" customHeight="1" spans="2:17">
      <c r="B16" s="284" t="str">
        <f>'P&amp;L Input'!B18</f>
        <v>Cost of technical sub-contractors</v>
      </c>
      <c r="C16" s="66">
        <f>'P&amp;L Input'!C18</f>
        <v>12606</v>
      </c>
      <c r="D16" s="66">
        <f>'P&amp;L Input'!D18</f>
        <v>14062</v>
      </c>
      <c r="E16" s="66">
        <f>'P&amp;L Input'!E18</f>
        <v>12232</v>
      </c>
      <c r="F16" s="66">
        <f>'P&amp;L Input'!F18</f>
        <v>12937</v>
      </c>
      <c r="G16" s="66">
        <f>'P&amp;L Input'!G18</f>
        <v>15421</v>
      </c>
      <c r="H16" s="16">
        <f t="shared" ref="H16:Q16" si="2">H11*H17</f>
        <v>17413.5322466735</v>
      </c>
      <c r="I16" s="16">
        <f t="shared" si="2"/>
        <v>19072.8336794116</v>
      </c>
      <c r="J16" s="16">
        <f t="shared" si="2"/>
        <v>20715.6629858565</v>
      </c>
      <c r="K16" s="16">
        <f t="shared" si="2"/>
        <v>22312.6670837367</v>
      </c>
      <c r="L16" s="16">
        <f t="shared" si="2"/>
        <v>23833.2450341237</v>
      </c>
      <c r="M16" s="16">
        <f t="shared" si="2"/>
        <v>25246.3790644546</v>
      </c>
      <c r="N16" s="16">
        <f t="shared" si="2"/>
        <v>26521.5273754463</v>
      </c>
      <c r="O16" s="16">
        <f t="shared" si="2"/>
        <v>27629.5509233549</v>
      </c>
      <c r="P16" s="16">
        <f t="shared" si="2"/>
        <v>28543.6459287079</v>
      </c>
      <c r="Q16" s="16">
        <f t="shared" si="2"/>
        <v>29240.2536868746</v>
      </c>
    </row>
    <row r="17" ht="13.5" customHeight="1" spans="2:17">
      <c r="B17" s="284"/>
      <c r="C17" s="319">
        <f>C16/C$11</f>
        <v>0.103632821170494</v>
      </c>
      <c r="D17" s="319">
        <f>D16/D$11</f>
        <v>0.09581172879462</v>
      </c>
      <c r="E17" s="319">
        <f>E16/E$11</f>
        <v>0.0795991410164639</v>
      </c>
      <c r="F17" s="319">
        <f>F16/F$11</f>
        <v>0.079372967666728</v>
      </c>
      <c r="G17" s="319">
        <f>G16/G$11</f>
        <v>0.0863196193674783</v>
      </c>
      <c r="H17" s="313">
        <f>AVERAGE(C17:G17)</f>
        <v>0.0889472556031567</v>
      </c>
      <c r="I17" s="313">
        <f t="shared" ref="I17:Q17" si="3">H17</f>
        <v>0.0889472556031567</v>
      </c>
      <c r="J17" s="313">
        <f t="shared" si="3"/>
        <v>0.0889472556031567</v>
      </c>
      <c r="K17" s="313">
        <f t="shared" si="3"/>
        <v>0.0889472556031567</v>
      </c>
      <c r="L17" s="313">
        <f t="shared" si="3"/>
        <v>0.0889472556031567</v>
      </c>
      <c r="M17" s="313">
        <f t="shared" si="3"/>
        <v>0.0889472556031567</v>
      </c>
      <c r="N17" s="313">
        <f t="shared" si="3"/>
        <v>0.0889472556031567</v>
      </c>
      <c r="O17" s="313">
        <f t="shared" si="3"/>
        <v>0.0889472556031567</v>
      </c>
      <c r="P17" s="313">
        <f t="shared" si="3"/>
        <v>0.0889472556031567</v>
      </c>
      <c r="Q17" s="313">
        <f t="shared" si="3"/>
        <v>0.0889472556031567</v>
      </c>
    </row>
    <row r="18" ht="13.5" customHeight="1" spans="2:17">
      <c r="B18" s="284"/>
      <c r="C18" s="66"/>
      <c r="D18" s="66"/>
      <c r="E18" s="66"/>
      <c r="F18" s="66"/>
      <c r="G18" s="66"/>
      <c r="H18" s="16"/>
      <c r="I18" s="16"/>
      <c r="J18" s="16"/>
      <c r="K18" s="16"/>
      <c r="L18" s="16"/>
      <c r="M18" s="16"/>
      <c r="N18" s="16"/>
      <c r="O18" s="16"/>
      <c r="P18" s="16"/>
      <c r="Q18" s="16"/>
    </row>
    <row r="19" ht="13.5" customHeight="1" spans="2:17">
      <c r="B19" s="284" t="str">
        <f>'P&amp;L Input'!B19</f>
        <v>Travel expenses</v>
      </c>
      <c r="C19" s="66">
        <f>'P&amp;L Input'!C19</f>
        <v>827</v>
      </c>
      <c r="D19" s="66">
        <f>'P&amp;L Input'!D19</f>
        <v>1525</v>
      </c>
      <c r="E19" s="66">
        <f>'P&amp;L Input'!E19</f>
        <v>1759</v>
      </c>
      <c r="F19" s="66">
        <f>'P&amp;L Input'!F19</f>
        <v>1894</v>
      </c>
      <c r="G19" s="66">
        <f>'P&amp;L Input'!G19</f>
        <v>2097</v>
      </c>
      <c r="H19" s="16">
        <f t="shared" ref="H19:Q19" si="4">H11*H20</f>
        <v>2035.82317470431</v>
      </c>
      <c r="I19" s="16">
        <f t="shared" si="4"/>
        <v>2229.81278363236</v>
      </c>
      <c r="J19" s="16">
        <f t="shared" si="4"/>
        <v>2421.87662954064</v>
      </c>
      <c r="K19" s="16">
        <f t="shared" si="4"/>
        <v>2608.58303157939</v>
      </c>
      <c r="L19" s="16">
        <f t="shared" si="4"/>
        <v>2786.35442146691</v>
      </c>
      <c r="M19" s="16">
        <f t="shared" si="4"/>
        <v>2951.56449873084</v>
      </c>
      <c r="N19" s="16">
        <f t="shared" si="4"/>
        <v>3100.64260912959</v>
      </c>
      <c r="O19" s="16">
        <f t="shared" si="4"/>
        <v>3230.18209514522</v>
      </c>
      <c r="P19" s="16">
        <f t="shared" si="4"/>
        <v>3337.04931596049</v>
      </c>
      <c r="Q19" s="16">
        <f t="shared" si="4"/>
        <v>3418.49001378476</v>
      </c>
    </row>
    <row r="20" ht="13.5" customHeight="1" spans="2:17">
      <c r="B20" s="284"/>
      <c r="C20" s="356">
        <f>C19/C$11</f>
        <v>0.00679869451911773</v>
      </c>
      <c r="D20" s="356">
        <f>D19/D$11</f>
        <v>0.0103906191446306</v>
      </c>
      <c r="E20" s="356">
        <f>E19/E$11</f>
        <v>0.0114466063642871</v>
      </c>
      <c r="F20" s="356">
        <f>F19/F$11</f>
        <v>0.0116203448064298</v>
      </c>
      <c r="G20" s="356">
        <f>G19/G$11</f>
        <v>0.0117380352644836</v>
      </c>
      <c r="H20" s="357">
        <f>AVERAGE(C20:G20)</f>
        <v>0.0103988600197898</v>
      </c>
      <c r="I20" s="357">
        <f t="shared" ref="I20:Q20" si="5">H20</f>
        <v>0.0103988600197898</v>
      </c>
      <c r="J20" s="357">
        <f t="shared" si="5"/>
        <v>0.0103988600197898</v>
      </c>
      <c r="K20" s="357">
        <f t="shared" si="5"/>
        <v>0.0103988600197898</v>
      </c>
      <c r="L20" s="357">
        <f t="shared" si="5"/>
        <v>0.0103988600197898</v>
      </c>
      <c r="M20" s="357">
        <f t="shared" si="5"/>
        <v>0.0103988600197898</v>
      </c>
      <c r="N20" s="357">
        <f t="shared" si="5"/>
        <v>0.0103988600197898</v>
      </c>
      <c r="O20" s="357">
        <f t="shared" si="5"/>
        <v>0.0103988600197898</v>
      </c>
      <c r="P20" s="357">
        <f t="shared" si="5"/>
        <v>0.0103988600197898</v>
      </c>
      <c r="Q20" s="357">
        <f t="shared" si="5"/>
        <v>0.0103988600197898</v>
      </c>
    </row>
    <row r="21" ht="13.5" customHeight="1" spans="2:17">
      <c r="B21" s="284"/>
      <c r="C21" s="66"/>
      <c r="D21" s="66"/>
      <c r="E21" s="66"/>
      <c r="F21" s="66"/>
      <c r="G21" s="66"/>
      <c r="H21" s="16"/>
      <c r="I21" s="16"/>
      <c r="J21" s="16"/>
      <c r="K21" s="16"/>
      <c r="L21" s="16"/>
      <c r="M21" s="16"/>
      <c r="N21" s="16"/>
      <c r="O21" s="16"/>
      <c r="P21" s="16"/>
      <c r="Q21" s="16"/>
    </row>
    <row r="22" ht="13.5" customHeight="1" spans="2:17">
      <c r="B22" s="284" t="str">
        <f>'P&amp;L Input'!B20</f>
        <v>Cost of software packages and others</v>
      </c>
      <c r="C22" s="66">
        <f>'P&amp;L Input'!C20</f>
        <v>6811</v>
      </c>
      <c r="D22" s="66">
        <f>'P&amp;L Input'!D20</f>
        <v>10902</v>
      </c>
      <c r="E22" s="66">
        <f>'P&amp;L Input'!E20</f>
        <v>13515</v>
      </c>
      <c r="F22" s="66">
        <f>'P&amp;L Input'!F20</f>
        <v>15911</v>
      </c>
      <c r="G22" s="66">
        <f>'P&amp;L Input'!G20</f>
        <v>15722</v>
      </c>
      <c r="H22" s="16">
        <f t="shared" ref="H22:Q22" si="6">H11*H23</f>
        <v>15812.4763844252</v>
      </c>
      <c r="I22" s="16">
        <f t="shared" si="6"/>
        <v>17319.2163351797</v>
      </c>
      <c r="J22" s="16">
        <f t="shared" si="6"/>
        <v>18810.9986596282</v>
      </c>
      <c r="K22" s="16">
        <f t="shared" si="6"/>
        <v>20261.1690917865</v>
      </c>
      <c r="L22" s="16">
        <f t="shared" si="6"/>
        <v>21641.9402409464</v>
      </c>
      <c r="M22" s="16">
        <f t="shared" si="6"/>
        <v>22925.1462077831</v>
      </c>
      <c r="N22" s="16">
        <f t="shared" si="6"/>
        <v>24083.0533037456</v>
      </c>
      <c r="O22" s="16">
        <f t="shared" si="6"/>
        <v>25089.2016219904</v>
      </c>
      <c r="P22" s="16">
        <f t="shared" si="6"/>
        <v>25919.2518082773</v>
      </c>
      <c r="Q22" s="16">
        <f t="shared" si="6"/>
        <v>26551.811220646</v>
      </c>
    </row>
    <row r="23" ht="13.5" customHeight="1" spans="2:17">
      <c r="B23" s="284"/>
      <c r="C23" s="356">
        <f>C22/C$11</f>
        <v>0.0559926340625283</v>
      </c>
      <c r="D23" s="356">
        <f>D22/D$11</f>
        <v>0.0742810032227953</v>
      </c>
      <c r="E23" s="356">
        <f>E22/E$11</f>
        <v>0.0879482006897898</v>
      </c>
      <c r="F23" s="356">
        <f>F22/F$11</f>
        <v>0.0976194858580281</v>
      </c>
      <c r="G23" s="356">
        <f>G22/G$11</f>
        <v>0.0880044780296669</v>
      </c>
      <c r="H23" s="357">
        <f>AVERAGE(C23:G23)</f>
        <v>0.0807691603725617</v>
      </c>
      <c r="I23" s="313">
        <f t="shared" ref="I23:Q23" si="7">H23</f>
        <v>0.0807691603725617</v>
      </c>
      <c r="J23" s="313">
        <f t="shared" si="7"/>
        <v>0.0807691603725617</v>
      </c>
      <c r="K23" s="313">
        <f t="shared" si="7"/>
        <v>0.0807691603725617</v>
      </c>
      <c r="L23" s="313">
        <f t="shared" si="7"/>
        <v>0.0807691603725617</v>
      </c>
      <c r="M23" s="313">
        <f t="shared" si="7"/>
        <v>0.0807691603725617</v>
      </c>
      <c r="N23" s="313">
        <f t="shared" si="7"/>
        <v>0.0807691603725617</v>
      </c>
      <c r="O23" s="313">
        <f t="shared" si="7"/>
        <v>0.0807691603725617</v>
      </c>
      <c r="P23" s="313">
        <f t="shared" si="7"/>
        <v>0.0807691603725617</v>
      </c>
      <c r="Q23" s="313">
        <f t="shared" si="7"/>
        <v>0.0807691603725617</v>
      </c>
    </row>
    <row r="24" ht="13.5" customHeight="1" spans="2:17">
      <c r="B24" s="284"/>
      <c r="C24" s="66"/>
      <c r="D24" s="66"/>
      <c r="E24" s="66"/>
      <c r="F24" s="66"/>
      <c r="G24" s="66"/>
      <c r="H24" s="16"/>
      <c r="I24" s="16"/>
      <c r="J24" s="16"/>
      <c r="K24" s="16"/>
      <c r="L24" s="16"/>
      <c r="M24" s="16"/>
      <c r="N24" s="16"/>
      <c r="O24" s="16"/>
      <c r="P24" s="16"/>
      <c r="Q24" s="16"/>
    </row>
    <row r="25" ht="13.5" customHeight="1" spans="2:17">
      <c r="B25" s="284" t="str">
        <f>'P&amp;L Input'!B21</f>
        <v>Communication expenses</v>
      </c>
      <c r="C25" s="66">
        <f>'P&amp;L Input'!C21</f>
        <v>611</v>
      </c>
      <c r="D25" s="66">
        <f>'P&amp;L Input'!D21</f>
        <v>713</v>
      </c>
      <c r="E25" s="66">
        <f>'P&amp;L Input'!E21</f>
        <v>677</v>
      </c>
      <c r="F25" s="66">
        <f>'P&amp;L Input'!F21</f>
        <v>620</v>
      </c>
      <c r="G25" s="66">
        <f>'P&amp;L Input'!G21</f>
        <v>603</v>
      </c>
      <c r="H25" s="16">
        <f t="shared" ref="H25:Q25" si="8">H26*H11</f>
        <v>840.487424967029</v>
      </c>
      <c r="I25" s="16">
        <f t="shared" si="8"/>
        <v>920.575827979723</v>
      </c>
      <c r="J25" s="16">
        <f t="shared" si="8"/>
        <v>999.869181784951</v>
      </c>
      <c r="K25" s="16">
        <f t="shared" si="8"/>
        <v>1076.95072060632</v>
      </c>
      <c r="L25" s="16">
        <f t="shared" si="8"/>
        <v>1150.34344919684</v>
      </c>
      <c r="M25" s="16">
        <f t="shared" si="8"/>
        <v>1218.55025327664</v>
      </c>
      <c r="N25" s="16">
        <f t="shared" si="8"/>
        <v>1280.09699205281</v>
      </c>
      <c r="O25" s="16">
        <f t="shared" si="8"/>
        <v>1333.57723060478</v>
      </c>
      <c r="P25" s="16">
        <f t="shared" si="8"/>
        <v>1377.69724866551</v>
      </c>
      <c r="Q25" s="16">
        <f t="shared" si="8"/>
        <v>1411.31995384559</v>
      </c>
    </row>
    <row r="26" ht="13.5" customHeight="1" spans="2:17">
      <c r="B26" s="284"/>
      <c r="C26" s="358">
        <f>C25/C$11</f>
        <v>0.00502297745003741</v>
      </c>
      <c r="D26" s="358">
        <f>D25/D$11</f>
        <v>0.00485804029516172</v>
      </c>
      <c r="E26" s="358">
        <f>E25/E$11</f>
        <v>0.00440554434827878</v>
      </c>
      <c r="F26" s="358">
        <f>F25/F$11</f>
        <v>0.00380391435057365</v>
      </c>
      <c r="G26" s="358">
        <f>G25/G$11</f>
        <v>0.00337531486146096</v>
      </c>
      <c r="H26" s="357">
        <f>AVERAGE(C26:G26)</f>
        <v>0.0042931582611025</v>
      </c>
      <c r="I26" s="357">
        <f t="shared" ref="I26:Q26" si="9">H26</f>
        <v>0.0042931582611025</v>
      </c>
      <c r="J26" s="357">
        <f t="shared" si="9"/>
        <v>0.0042931582611025</v>
      </c>
      <c r="K26" s="357">
        <f t="shared" si="9"/>
        <v>0.0042931582611025</v>
      </c>
      <c r="L26" s="357">
        <f t="shared" si="9"/>
        <v>0.0042931582611025</v>
      </c>
      <c r="M26" s="357">
        <f t="shared" si="9"/>
        <v>0.0042931582611025</v>
      </c>
      <c r="N26" s="357">
        <f t="shared" si="9"/>
        <v>0.0042931582611025</v>
      </c>
      <c r="O26" s="357">
        <f t="shared" si="9"/>
        <v>0.0042931582611025</v>
      </c>
      <c r="P26" s="357">
        <f t="shared" si="9"/>
        <v>0.0042931582611025</v>
      </c>
      <c r="Q26" s="357">
        <f t="shared" si="9"/>
        <v>0.0042931582611025</v>
      </c>
    </row>
    <row r="27" ht="13.5" customHeight="1" spans="2:17">
      <c r="B27" s="284"/>
      <c r="C27" s="66"/>
      <c r="D27" s="66"/>
      <c r="E27" s="66"/>
      <c r="F27" s="66"/>
      <c r="G27" s="66"/>
      <c r="H27" s="16"/>
      <c r="I27" s="16"/>
      <c r="J27" s="16"/>
      <c r="K27" s="16"/>
      <c r="L27" s="16"/>
      <c r="M27" s="16"/>
      <c r="N27" s="16"/>
      <c r="O27" s="16"/>
      <c r="P27" s="16"/>
      <c r="Q27" s="16"/>
    </row>
    <row r="28" ht="13.5" customHeight="1" spans="2:17">
      <c r="B28" s="284" t="str">
        <f>'P&amp;L Input'!B22</f>
        <v>Consultancy and professional charges</v>
      </c>
      <c r="C28" s="66">
        <f>'P&amp;L Input'!C22</f>
        <v>1885</v>
      </c>
      <c r="D28" s="66">
        <f>'P&amp;L Input'!D22</f>
        <v>1684</v>
      </c>
      <c r="E28" s="66">
        <f>'P&amp;L Input'!E22</f>
        <v>1726</v>
      </c>
      <c r="F28" s="66">
        <f>'P&amp;L Input'!F22</f>
        <v>1655</v>
      </c>
      <c r="G28" s="66">
        <f>'P&amp;L Input'!G22</f>
        <v>2090</v>
      </c>
      <c r="H28" s="16">
        <f t="shared" ref="H28:Q28" si="10">H11*H29</f>
        <v>2351.44163622067</v>
      </c>
      <c r="I28" s="16">
        <f t="shared" si="10"/>
        <v>2575.50591110243</v>
      </c>
      <c r="J28" s="16">
        <f t="shared" si="10"/>
        <v>2797.34586738792</v>
      </c>
      <c r="K28" s="16">
        <f t="shared" si="10"/>
        <v>3012.99780266302</v>
      </c>
      <c r="L28" s="16">
        <f t="shared" si="10"/>
        <v>3218.32950980946</v>
      </c>
      <c r="M28" s="16">
        <f t="shared" si="10"/>
        <v>3409.15249445206</v>
      </c>
      <c r="N28" s="16">
        <f t="shared" si="10"/>
        <v>3581.34253541259</v>
      </c>
      <c r="O28" s="16">
        <f t="shared" si="10"/>
        <v>3730.96483303478</v>
      </c>
      <c r="P28" s="16">
        <f t="shared" si="10"/>
        <v>3854.39993078521</v>
      </c>
      <c r="Q28" s="16">
        <f t="shared" si="10"/>
        <v>3948.46657180116</v>
      </c>
    </row>
    <row r="29" ht="13.5" customHeight="1" spans="2:17">
      <c r="B29" s="284"/>
      <c r="C29" s="319">
        <f>C28/C$11</f>
        <v>0.0154964197926686</v>
      </c>
      <c r="D29" s="319">
        <f>D28/D$11</f>
        <v>0.0114739689439724</v>
      </c>
      <c r="E29" s="319">
        <f>E28/E$11</f>
        <v>0.0112318604802499</v>
      </c>
      <c r="F29" s="319">
        <f>F28/F$11</f>
        <v>0.010153997177741</v>
      </c>
      <c r="G29" s="319">
        <f>G28/G$11</f>
        <v>0.0116988525048978</v>
      </c>
      <c r="H29" s="357">
        <f>AVERAGE(C29:G29)</f>
        <v>0.0120110197799059</v>
      </c>
      <c r="I29" s="357">
        <f t="shared" ref="I29:Q29" si="11">H29</f>
        <v>0.0120110197799059</v>
      </c>
      <c r="J29" s="357">
        <f t="shared" si="11"/>
        <v>0.0120110197799059</v>
      </c>
      <c r="K29" s="357">
        <f t="shared" si="11"/>
        <v>0.0120110197799059</v>
      </c>
      <c r="L29" s="357">
        <f t="shared" si="11"/>
        <v>0.0120110197799059</v>
      </c>
      <c r="M29" s="357">
        <f t="shared" si="11"/>
        <v>0.0120110197799059</v>
      </c>
      <c r="N29" s="357">
        <f t="shared" si="11"/>
        <v>0.0120110197799059</v>
      </c>
      <c r="O29" s="357">
        <f t="shared" si="11"/>
        <v>0.0120110197799059</v>
      </c>
      <c r="P29" s="357">
        <f t="shared" si="11"/>
        <v>0.0120110197799059</v>
      </c>
      <c r="Q29" s="357">
        <f t="shared" si="11"/>
        <v>0.0120110197799059</v>
      </c>
    </row>
    <row r="30" ht="13.5" customHeight="1" spans="2:17">
      <c r="B30" s="284"/>
      <c r="C30" s="66"/>
      <c r="D30" s="66"/>
      <c r="E30" s="66"/>
      <c r="F30" s="66"/>
      <c r="G30" s="66"/>
      <c r="H30" s="16"/>
      <c r="I30" s="16"/>
      <c r="J30" s="16"/>
      <c r="K30" s="16"/>
      <c r="L30" s="16"/>
      <c r="M30" s="16"/>
      <c r="N30" s="16"/>
      <c r="O30" s="16"/>
      <c r="P30" s="16"/>
      <c r="Q30" s="16"/>
    </row>
    <row r="31" ht="14.25" customHeight="1" spans="2:17">
      <c r="B31" s="284" t="s">
        <v>256</v>
      </c>
      <c r="C31" s="66">
        <f>'P&amp;L Input'!C23</f>
        <v>3424</v>
      </c>
      <c r="D31" s="66">
        <f>'P&amp;L Input'!D23</f>
        <v>4392</v>
      </c>
      <c r="E31" s="66">
        <f>'P&amp;L Input'!E23</f>
        <v>4716</v>
      </c>
      <c r="F31" s="66">
        <f>'P&amp;L Input'!F23</f>
        <v>4787</v>
      </c>
      <c r="G31" s="66">
        <f>'P&amp;L Input'!G23</f>
        <v>5343</v>
      </c>
      <c r="H31" s="16">
        <f t="shared" ref="H31:Q31" si="12">H11*H32</f>
        <v>5796.46996085787</v>
      </c>
      <c r="I31" s="16">
        <f t="shared" si="12"/>
        <v>6348.80424747063</v>
      </c>
      <c r="J31" s="16">
        <f t="shared" si="12"/>
        <v>6895.65543140798</v>
      </c>
      <c r="K31" s="16">
        <f t="shared" si="12"/>
        <v>7427.25270584941</v>
      </c>
      <c r="L31" s="16">
        <f t="shared" si="12"/>
        <v>7933.40988795959</v>
      </c>
      <c r="M31" s="16">
        <f t="shared" si="12"/>
        <v>8403.80204283349</v>
      </c>
      <c r="N31" s="16">
        <f t="shared" si="12"/>
        <v>8828.2626735429</v>
      </c>
      <c r="O31" s="16">
        <f t="shared" si="12"/>
        <v>9197.09222060982</v>
      </c>
      <c r="P31" s="16">
        <f t="shared" si="12"/>
        <v>9501.36846765964</v>
      </c>
      <c r="Q31" s="16">
        <f t="shared" si="12"/>
        <v>9733.2493915018</v>
      </c>
    </row>
    <row r="32" s="280" customFormat="1" ht="13.5" customHeight="1" spans="2:17">
      <c r="B32" s="344"/>
      <c r="C32" s="319">
        <f>C31/C$11</f>
        <v>0.0281484039098659</v>
      </c>
      <c r="D32" s="319">
        <f>D31/D$11</f>
        <v>0.0299249831365361</v>
      </c>
      <c r="E32" s="319">
        <f>E31/E$11</f>
        <v>0.0306891390642285</v>
      </c>
      <c r="F32" s="319">
        <f>F31/F$11</f>
        <v>0.0293698999938647</v>
      </c>
      <c r="G32" s="319">
        <f>G31/G$11</f>
        <v>0.0299076406381192</v>
      </c>
      <c r="H32" s="313">
        <f>AVERAGE(C32:G32)</f>
        <v>0.0296080133485229</v>
      </c>
      <c r="I32" s="313">
        <f t="shared" ref="I32:Q32" si="13">H32</f>
        <v>0.0296080133485229</v>
      </c>
      <c r="J32" s="313">
        <f t="shared" si="13"/>
        <v>0.0296080133485229</v>
      </c>
      <c r="K32" s="313">
        <f t="shared" si="13"/>
        <v>0.0296080133485229</v>
      </c>
      <c r="L32" s="313">
        <f t="shared" si="13"/>
        <v>0.0296080133485229</v>
      </c>
      <c r="M32" s="313">
        <f t="shared" si="13"/>
        <v>0.0296080133485229</v>
      </c>
      <c r="N32" s="313">
        <f t="shared" si="13"/>
        <v>0.0296080133485229</v>
      </c>
      <c r="O32" s="313">
        <f t="shared" si="13"/>
        <v>0.0296080133485229</v>
      </c>
      <c r="P32" s="313">
        <f t="shared" si="13"/>
        <v>0.0296080133485229</v>
      </c>
      <c r="Q32" s="313">
        <f t="shared" si="13"/>
        <v>0.0296080133485229</v>
      </c>
    </row>
    <row r="33" ht="13.5" customHeight="1" spans="1:17">
      <c r="B33" s="213"/>
      <c r="H33" s="13"/>
      <c r="I33" s="13"/>
      <c r="J33" s="13"/>
      <c r="K33" s="13"/>
      <c r="L33" s="13"/>
      <c r="M33" s="13"/>
      <c r="N33" s="13"/>
      <c r="O33" s="13"/>
      <c r="P33" s="13"/>
      <c r="Q33" s="13"/>
    </row>
    <row r="34" s="14" customFormat="1" ht="13.5" customHeight="1" spans="1:17">
      <c r="A34" s="3"/>
      <c r="B34" s="213" t="s">
        <v>100</v>
      </c>
      <c r="C34" s="66">
        <f>'P&amp;L Input'!C32</f>
        <v>200</v>
      </c>
      <c r="D34" s="66">
        <f>'P&amp;L Input'!D32</f>
        <v>284</v>
      </c>
      <c r="E34" s="66">
        <f>'P&amp;L Input'!E32</f>
        <v>470</v>
      </c>
      <c r="F34" s="66">
        <f>'P&amp;L Input'!F32</f>
        <v>416</v>
      </c>
      <c r="G34" s="66">
        <f>'P&amp;L Input'!G32</f>
        <v>416</v>
      </c>
      <c r="H34" s="16">
        <f t="shared" ref="H34:Q34" si="14">H11*H35</f>
        <v>8727.00508502663</v>
      </c>
      <c r="I34" s="16">
        <f t="shared" si="14"/>
        <v>9558.58433247446</v>
      </c>
      <c r="J34" s="16">
        <f t="shared" si="14"/>
        <v>10381.9083719676</v>
      </c>
      <c r="K34" s="16">
        <f t="shared" si="14"/>
        <v>11182.2665466091</v>
      </c>
      <c r="L34" s="16">
        <f t="shared" si="14"/>
        <v>11944.3228208462</v>
      </c>
      <c r="M34" s="16">
        <f t="shared" si="14"/>
        <v>12652.5322578418</v>
      </c>
      <c r="N34" s="16">
        <f t="shared" si="14"/>
        <v>13291.5884606012</v>
      </c>
      <c r="O34" s="16">
        <f t="shared" si="14"/>
        <v>13846.8880402586</v>
      </c>
      <c r="P34" s="16">
        <f t="shared" si="14"/>
        <v>14304.9979542559</v>
      </c>
      <c r="Q34" s="16">
        <f t="shared" si="14"/>
        <v>14654.1114690599</v>
      </c>
    </row>
    <row r="35" s="322" customFormat="1" ht="13.5" customHeight="1" spans="1:17">
      <c r="B35" s="359" t="s">
        <v>257</v>
      </c>
      <c r="C35" s="319">
        <f>C34/('BS Input'!D52+'BS Input'!D61)</f>
        <v>0.0365363536719035</v>
      </c>
      <c r="D35" s="319">
        <f>D34/('BS Input'!E52+'BS Input'!E61)</f>
        <v>0.0342209904807808</v>
      </c>
      <c r="E35" s="319">
        <f>E34/('BS Input'!F52+'BS Input'!F61)</f>
        <v>0.0562268213901184</v>
      </c>
      <c r="F35" s="319">
        <f>F34/('BS Input'!G52+'BS Input'!G61)</f>
        <v>0.0505652121064787</v>
      </c>
      <c r="G35" s="319">
        <f>G34/('BS Input'!H52+'BS Input'!H61)</f>
        <v>0.045335658238884</v>
      </c>
      <c r="H35" s="313">
        <f>AVERAGE(C35:G35)</f>
        <v>0.0445770071776331</v>
      </c>
      <c r="I35" s="313">
        <f t="shared" ref="I35:Q35" si="15">H35</f>
        <v>0.0445770071776331</v>
      </c>
      <c r="J35" s="313">
        <f t="shared" si="15"/>
        <v>0.0445770071776331</v>
      </c>
      <c r="K35" s="313">
        <f t="shared" si="15"/>
        <v>0.0445770071776331</v>
      </c>
      <c r="L35" s="313">
        <f t="shared" si="15"/>
        <v>0.0445770071776331</v>
      </c>
      <c r="M35" s="313">
        <f t="shared" si="15"/>
        <v>0.0445770071776331</v>
      </c>
      <c r="N35" s="313">
        <f t="shared" si="15"/>
        <v>0.0445770071776331</v>
      </c>
      <c r="O35" s="313">
        <f t="shared" si="15"/>
        <v>0.0445770071776331</v>
      </c>
      <c r="P35" s="313">
        <f t="shared" si="15"/>
        <v>0.0445770071776331</v>
      </c>
      <c r="Q35" s="313">
        <f t="shared" si="15"/>
        <v>0.0445770071776331</v>
      </c>
    </row>
    <row r="36" ht="13.5" customHeight="1" spans="1:17">
      <c r="B36" s="213"/>
      <c r="C36" s="1"/>
      <c r="D36" s="1"/>
      <c r="E36" s="1"/>
      <c r="F36" s="1"/>
      <c r="G36" s="1"/>
      <c r="H36" s="13"/>
      <c r="I36" s="13"/>
      <c r="J36" s="13"/>
      <c r="K36" s="13"/>
      <c r="L36" s="13"/>
      <c r="M36" s="13"/>
      <c r="N36" s="13"/>
      <c r="O36" s="13"/>
      <c r="P36" s="13"/>
      <c r="Q36" s="13"/>
    </row>
    <row r="37" ht="13.5" customHeight="1" spans="1:17">
      <c r="B37" s="213" t="s">
        <v>258</v>
      </c>
      <c r="C37" s="319">
        <f>'P&amp;L Input'!C40/'P&amp;L Input'!C38</f>
        <v>0.264496844902026</v>
      </c>
      <c r="D37" s="319">
        <f>'P&amp;L Input'!D40/'P&amp;L Input'!D38</f>
        <v>0.27651401476502</v>
      </c>
      <c r="E37" s="319">
        <f>'P&amp;L Input'!E40/'P&amp;L Input'!E38</f>
        <v>0.270645770812493</v>
      </c>
      <c r="F37" s="319">
        <f>'P&amp;L Input'!F40/'P&amp;L Input'!F38</f>
        <v>0.288715166985748</v>
      </c>
      <c r="G37" s="319">
        <f>'P&amp;L Input'!G40/'P&amp;L Input'!G38</f>
        <v>0.263057882235279</v>
      </c>
      <c r="H37" s="313">
        <f t="shared" ref="H37:Q37" si="16">G37+0.3%</f>
        <v>0.266057882235279</v>
      </c>
      <c r="I37" s="313">
        <f t="shared" si="16"/>
        <v>0.269057882235279</v>
      </c>
      <c r="J37" s="313">
        <f t="shared" si="16"/>
        <v>0.272057882235279</v>
      </c>
      <c r="K37" s="313">
        <f t="shared" si="16"/>
        <v>0.275057882235279</v>
      </c>
      <c r="L37" s="313">
        <f t="shared" si="16"/>
        <v>0.278057882235279</v>
      </c>
      <c r="M37" s="313">
        <f t="shared" si="16"/>
        <v>0.281057882235279</v>
      </c>
      <c r="N37" s="313">
        <f t="shared" si="16"/>
        <v>0.284057882235279</v>
      </c>
      <c r="O37" s="313">
        <f t="shared" si="16"/>
        <v>0.287057882235279</v>
      </c>
      <c r="P37" s="313">
        <f t="shared" si="16"/>
        <v>0.290057882235279</v>
      </c>
      <c r="Q37" s="313">
        <f t="shared" si="16"/>
        <v>0.293057882235279</v>
      </c>
    </row>
    <row r="39" ht="13.5" customHeight="1" spans="1:17">
      <c r="B39" s="360"/>
      <c r="C39" s="360"/>
      <c r="D39" s="360"/>
      <c r="E39" s="360"/>
      <c r="F39" s="360"/>
      <c r="G39" s="360"/>
      <c r="H39" s="360"/>
      <c r="I39" s="360"/>
      <c r="J39" s="360"/>
      <c r="K39" s="360"/>
      <c r="L39" s="360"/>
      <c r="M39" s="360"/>
      <c r="N39" s="360"/>
      <c r="O39" s="360"/>
      <c r="P39" s="360"/>
      <c r="Q39" s="360"/>
    </row>
    <row r="41" ht="13.5" customHeight="1" spans="1:17">
      <c r="B41" s="361"/>
      <c r="C41" s="362"/>
      <c r="D41" s="362"/>
      <c r="E41" s="362"/>
      <c r="F41" s="362"/>
      <c r="G41" s="362"/>
      <c r="H41" s="362"/>
      <c r="I41" s="362"/>
      <c r="J41" s="362"/>
      <c r="K41" s="362"/>
      <c r="L41" s="362"/>
      <c r="M41" s="362"/>
      <c r="N41" s="362"/>
      <c r="O41" s="362"/>
      <c r="P41" s="362"/>
      <c r="Q41" s="362"/>
    </row>
    <row r="42" ht="13.5" customHeight="1" spans="1:17">
      <c r="B42" s="363"/>
      <c r="C42" s="364"/>
      <c r="D42" s="364"/>
      <c r="E42" s="364"/>
      <c r="F42" s="364"/>
      <c r="G42" s="364"/>
    </row>
    <row r="43" ht="13.5" customHeight="1" spans="1:17">
      <c r="B43" s="363"/>
      <c r="C43" s="364"/>
      <c r="D43" s="364"/>
      <c r="E43" s="364"/>
      <c r="F43" s="364"/>
      <c r="G43" s="364"/>
    </row>
  </sheetData>
  <mergeCells count="5">
    <mergeCell ref="P6:Q6"/>
    <mergeCell ref="B7:Q7"/>
    <mergeCell ref="B39:Q39"/>
    <mergeCell ref="B8:B9"/>
    <mergeCell ref="B2:D4"/>
  </mergeCells>
  <pageMargins left="0.7" right="0.7" top="0.75" bottom="0.75"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AC090"/>
  </sheetPr>
  <dimension ref="A2:AH172"/>
  <sheetViews>
    <sheetView showGridLines="0" zoomScale="79" zoomScaleNormal="79" topLeftCell="A149" workbookViewId="0">
      <selection activeCell="H165" sqref="H165"/>
    </sheetView>
  </sheetViews>
  <sheetFormatPr defaultColWidth="8.83333333333333" defaultRowHeight="13.8"/>
  <cols>
    <col min="1" max="1" width="4.83333333333333" style="3" customWidth="1"/>
    <col min="2" max="2" width="33.8333333333333" style="3" customWidth="1"/>
    <col min="3" max="7" width="12" style="3" customWidth="1"/>
    <col min="8" max="8" width="13.8333333333333" style="3" customWidth="1"/>
    <col min="9" max="9" width="12" style="3" customWidth="1"/>
    <col min="10" max="17" width="13.8333333333333" style="3" customWidth="1"/>
    <col min="18" max="18" width="10.1666666666667" style="3" customWidth="1"/>
    <col min="19" max="16384" width="8.83333333333333" style="3"/>
  </cols>
  <sheetData>
    <row r="2" ht="13.5" customHeight="1" spans="2:34">
      <c r="B2" s="173" t="s">
        <v>21</v>
      </c>
      <c r="C2" s="173"/>
      <c r="D2" s="173"/>
    </row>
    <row r="3" ht="13.5" customHeight="1" spans="2:34">
      <c r="B3" s="173"/>
      <c r="C3" s="173"/>
      <c r="D3" s="173"/>
    </row>
    <row r="4" ht="13.5" customHeight="1" spans="2:34">
      <c r="B4" s="173"/>
      <c r="C4" s="173"/>
      <c r="D4" s="173"/>
    </row>
    <row r="6" ht="14.25" customHeight="1" spans="2:34">
      <c r="P6" s="5" t="s">
        <v>83</v>
      </c>
      <c r="Q6" s="5"/>
    </row>
    <row r="7" ht="15" customHeight="1" spans="2:34">
      <c r="B7" s="261" t="s">
        <v>259</v>
      </c>
      <c r="C7" s="261"/>
      <c r="D7" s="261"/>
      <c r="E7" s="261"/>
      <c r="F7" s="261"/>
      <c r="G7" s="261"/>
      <c r="H7" s="261"/>
      <c r="I7" s="261"/>
      <c r="J7" s="261"/>
      <c r="K7" s="261"/>
      <c r="L7" s="261"/>
      <c r="M7" s="261"/>
      <c r="N7" s="261"/>
      <c r="O7" s="261"/>
      <c r="P7" s="261"/>
      <c r="Q7" s="261"/>
    </row>
    <row r="8" ht="14.25" customHeight="1" spans="2:34">
      <c r="B8" s="311" t="s">
        <v>39</v>
      </c>
      <c r="C8" s="9">
        <f>'Cost Buildup'!C8</f>
        <v>2022</v>
      </c>
      <c r="D8" s="9">
        <f>'Cost Buildup'!D8</f>
        <v>2023</v>
      </c>
      <c r="E8" s="9">
        <f>'Cost Buildup'!E8</f>
        <v>2024</v>
      </c>
      <c r="F8" s="9">
        <f>'Cost Buildup'!F8</f>
        <v>2025</v>
      </c>
      <c r="G8" s="9">
        <f>'Cost Buildup'!G8</f>
        <v>2026</v>
      </c>
      <c r="H8" s="9">
        <f>'Cost Buildup'!H8</f>
        <v>2027</v>
      </c>
      <c r="I8" s="9">
        <f>'Cost Buildup'!I8</f>
        <v>2028</v>
      </c>
      <c r="J8" s="9">
        <f>'Cost Buildup'!J8</f>
        <v>2029</v>
      </c>
      <c r="K8" s="9">
        <f>'Cost Buildup'!K8</f>
        <v>2030</v>
      </c>
      <c r="L8" s="9">
        <f>'Cost Buildup'!L8</f>
        <v>2031</v>
      </c>
      <c r="M8" s="9">
        <f>'Cost Buildup'!M8</f>
        <v>2032</v>
      </c>
      <c r="N8" s="9">
        <f>'Cost Buildup'!N8</f>
        <v>2033</v>
      </c>
      <c r="O8" s="9">
        <f>'Cost Buildup'!O8</f>
        <v>2034</v>
      </c>
      <c r="P8" s="9">
        <f>'Cost Buildup'!P8</f>
        <v>2035</v>
      </c>
      <c r="Q8" s="9">
        <f>'Cost Buildup'!Q8</f>
        <v>2036</v>
      </c>
    </row>
    <row r="9" ht="13.5" customHeight="1" spans="2:34">
      <c r="B9" s="311"/>
      <c r="C9" s="11" t="s">
        <v>84</v>
      </c>
      <c r="D9" s="11" t="s">
        <v>84</v>
      </c>
      <c r="E9" s="11" t="s">
        <v>84</v>
      </c>
      <c r="F9" s="11" t="s">
        <v>84</v>
      </c>
      <c r="G9" s="11" t="s">
        <v>84</v>
      </c>
      <c r="H9" s="12" t="s">
        <v>234</v>
      </c>
      <c r="I9" s="12" t="s">
        <v>235</v>
      </c>
      <c r="J9" s="12" t="s">
        <v>235</v>
      </c>
      <c r="K9" s="12" t="s">
        <v>235</v>
      </c>
      <c r="L9" s="12" t="s">
        <v>235</v>
      </c>
      <c r="M9" s="12" t="s">
        <v>235</v>
      </c>
      <c r="N9" s="12" t="s">
        <v>235</v>
      </c>
      <c r="O9" s="12" t="s">
        <v>235</v>
      </c>
      <c r="P9" s="12" t="s">
        <v>235</v>
      </c>
      <c r="Q9" s="12" t="s">
        <v>235</v>
      </c>
      <c r="AB9" s="1"/>
      <c r="AD9" s="2"/>
      <c r="AE9" s="2"/>
      <c r="AF9" s="2"/>
      <c r="AG9" s="2"/>
      <c r="AH9" s="2"/>
    </row>
    <row r="10" ht="15" customHeight="1" spans="2:34">
      <c r="B10" s="330" t="s">
        <v>260</v>
      </c>
      <c r="C10" s="330"/>
      <c r="D10" s="330"/>
      <c r="E10" s="330"/>
      <c r="F10" s="330"/>
      <c r="G10" s="330"/>
      <c r="H10" s="330"/>
      <c r="I10" s="330"/>
      <c r="J10" s="330"/>
      <c r="K10" s="330"/>
      <c r="L10" s="330"/>
      <c r="M10" s="330"/>
      <c r="N10" s="330"/>
      <c r="O10" s="330"/>
      <c r="P10" s="330"/>
      <c r="Q10" s="330"/>
    </row>
    <row r="11" s="1" customFormat="1" ht="13.5" customHeight="1" spans="2:34">
      <c r="B11" s="268" t="s">
        <v>261</v>
      </c>
      <c r="H11" s="242"/>
      <c r="I11" s="242"/>
      <c r="J11" s="242"/>
      <c r="K11" s="242"/>
      <c r="L11" s="242"/>
      <c r="M11" s="242"/>
      <c r="N11" s="242"/>
      <c r="O11" s="242"/>
      <c r="P11" s="242"/>
      <c r="Q11" s="242"/>
    </row>
    <row r="12" s="1" customFormat="1" ht="13.5" customHeight="1" spans="2:34">
      <c r="B12" s="268" t="s">
        <v>262</v>
      </c>
      <c r="C12" s="331">
        <v>10565</v>
      </c>
      <c r="D12" s="331">
        <f t="shared" ref="D12:Q12" si="0">C15</f>
        <v>11224</v>
      </c>
      <c r="E12" s="331">
        <f t="shared" si="0"/>
        <v>11562</v>
      </c>
      <c r="F12" s="331">
        <f t="shared" si="0"/>
        <v>11770</v>
      </c>
      <c r="G12" s="331">
        <f t="shared" si="0"/>
        <v>11721</v>
      </c>
      <c r="H12" s="292">
        <f t="shared" si="0"/>
        <v>12574</v>
      </c>
      <c r="I12" s="292">
        <f t="shared" si="0"/>
        <v>13302</v>
      </c>
      <c r="J12" s="292">
        <f t="shared" si="0"/>
        <v>14030</v>
      </c>
      <c r="K12" s="292">
        <f t="shared" si="0"/>
        <v>14758</v>
      </c>
      <c r="L12" s="292">
        <f t="shared" si="0"/>
        <v>15515.12</v>
      </c>
      <c r="M12" s="292">
        <f t="shared" si="0"/>
        <v>16272.24</v>
      </c>
      <c r="N12" s="292">
        <f t="shared" si="0"/>
        <v>17029.36</v>
      </c>
      <c r="O12" s="292">
        <f t="shared" si="0"/>
        <v>17816.7648</v>
      </c>
      <c r="P12" s="292">
        <f t="shared" si="0"/>
        <v>18604.1696</v>
      </c>
      <c r="Q12" s="292">
        <f t="shared" si="0"/>
        <v>19391.5744</v>
      </c>
    </row>
    <row r="13" s="1" customFormat="1" ht="13.5" customHeight="1" spans="2:34">
      <c r="B13" s="213" t="s">
        <v>263</v>
      </c>
      <c r="C13" s="297">
        <v>598</v>
      </c>
      <c r="D13" s="297">
        <v>337</v>
      </c>
      <c r="E13" s="297">
        <v>245</v>
      </c>
      <c r="F13" s="297">
        <v>-69</v>
      </c>
      <c r="G13" s="297">
        <v>700</v>
      </c>
      <c r="H13" s="17">
        <f>G13*1.04</f>
        <v>728</v>
      </c>
      <c r="I13" s="17">
        <f>H13</f>
        <v>728</v>
      </c>
      <c r="J13" s="17">
        <f>I13</f>
        <v>728</v>
      </c>
      <c r="K13" s="17">
        <f>J13*1.04</f>
        <v>757.12</v>
      </c>
      <c r="L13" s="17">
        <f>K13</f>
        <v>757.12</v>
      </c>
      <c r="M13" s="17">
        <f>L13</f>
        <v>757.12</v>
      </c>
      <c r="N13" s="17">
        <f>M13*1.04</f>
        <v>787.4048</v>
      </c>
      <c r="O13" s="17">
        <f>N13</f>
        <v>787.4048</v>
      </c>
      <c r="P13" s="17">
        <f>O13</f>
        <v>787.4048</v>
      </c>
      <c r="Q13" s="17">
        <f>P13*1.04</f>
        <v>818.900992</v>
      </c>
    </row>
    <row r="14" s="1" customFormat="1" ht="13.5" customHeight="1" spans="2:34">
      <c r="B14" s="213" t="s">
        <v>264</v>
      </c>
      <c r="C14" s="297">
        <v>61</v>
      </c>
      <c r="D14" s="297">
        <v>1</v>
      </c>
      <c r="E14" s="297">
        <v>-37</v>
      </c>
      <c r="F14" s="297">
        <v>20</v>
      </c>
      <c r="G14" s="297">
        <v>153</v>
      </c>
      <c r="H14" s="17"/>
      <c r="I14" s="17"/>
      <c r="J14" s="17"/>
      <c r="K14" s="17"/>
      <c r="L14" s="17"/>
      <c r="M14" s="17"/>
      <c r="N14" s="17"/>
      <c r="O14" s="17"/>
      <c r="P14" s="17"/>
      <c r="Q14" s="17"/>
    </row>
    <row r="15" s="1" customFormat="1" ht="13.5" customHeight="1" spans="2:34">
      <c r="B15" s="268" t="s">
        <v>265</v>
      </c>
      <c r="C15" s="291">
        <f t="shared" ref="C15:Q15" si="1">SUM(C12:C14)</f>
        <v>11224</v>
      </c>
      <c r="D15" s="291">
        <f t="shared" si="1"/>
        <v>11562</v>
      </c>
      <c r="E15" s="291">
        <f t="shared" si="1"/>
        <v>11770</v>
      </c>
      <c r="F15" s="291">
        <f t="shared" si="1"/>
        <v>11721</v>
      </c>
      <c r="G15" s="291">
        <f t="shared" si="1"/>
        <v>12574</v>
      </c>
      <c r="H15" s="292">
        <f t="shared" si="1"/>
        <v>13302</v>
      </c>
      <c r="I15" s="292">
        <f t="shared" si="1"/>
        <v>14030</v>
      </c>
      <c r="J15" s="292">
        <f t="shared" si="1"/>
        <v>14758</v>
      </c>
      <c r="K15" s="292">
        <f t="shared" si="1"/>
        <v>15515.12</v>
      </c>
      <c r="L15" s="292">
        <f t="shared" si="1"/>
        <v>16272.24</v>
      </c>
      <c r="M15" s="292">
        <f t="shared" si="1"/>
        <v>17029.36</v>
      </c>
      <c r="N15" s="292">
        <f t="shared" si="1"/>
        <v>17816.7648</v>
      </c>
      <c r="O15" s="292">
        <f t="shared" si="1"/>
        <v>18604.1696</v>
      </c>
      <c r="P15" s="292">
        <f t="shared" si="1"/>
        <v>19391.5744</v>
      </c>
      <c r="Q15" s="292">
        <f t="shared" si="1"/>
        <v>20210.475392</v>
      </c>
    </row>
    <row r="16" s="1" customFormat="1" ht="13.5" customHeight="1" spans="2:34">
      <c r="B16" s="213" t="s">
        <v>266</v>
      </c>
      <c r="C16" s="297">
        <v>3675</v>
      </c>
      <c r="D16" s="297">
        <f t="shared" ref="D16:Q16" si="2">SUM(C16:C18)</f>
        <v>4100</v>
      </c>
      <c r="E16" s="297">
        <f t="shared" si="2"/>
        <v>4535</v>
      </c>
      <c r="F16" s="297">
        <f t="shared" si="2"/>
        <v>4921</v>
      </c>
      <c r="G16" s="297">
        <f t="shared" si="2"/>
        <v>5358</v>
      </c>
      <c r="H16" s="17">
        <f t="shared" si="2"/>
        <v>5856</v>
      </c>
      <c r="I16" s="17">
        <f t="shared" si="2"/>
        <v>6320.88</v>
      </c>
      <c r="J16" s="17">
        <f t="shared" si="2"/>
        <v>6785.76</v>
      </c>
      <c r="K16" s="17">
        <f t="shared" si="2"/>
        <v>7250.64</v>
      </c>
      <c r="L16" s="17">
        <f t="shared" si="2"/>
        <v>7734.1152</v>
      </c>
      <c r="M16" s="17">
        <f t="shared" si="2"/>
        <v>8217.5904</v>
      </c>
      <c r="N16" s="17">
        <f t="shared" si="2"/>
        <v>8701.0656</v>
      </c>
      <c r="O16" s="17">
        <f t="shared" si="2"/>
        <v>9203.879808</v>
      </c>
      <c r="P16" s="17">
        <f t="shared" si="2"/>
        <v>9706.694016</v>
      </c>
      <c r="Q16" s="17">
        <f t="shared" si="2"/>
        <v>10209.508224</v>
      </c>
    </row>
    <row r="17" s="1" customFormat="1" ht="13.5" customHeight="1" spans="2:17">
      <c r="B17" s="213" t="s">
        <v>267</v>
      </c>
      <c r="C17" s="297">
        <v>417</v>
      </c>
      <c r="D17" s="297">
        <v>434</v>
      </c>
      <c r="E17" s="297">
        <v>395</v>
      </c>
      <c r="F17" s="297">
        <v>431</v>
      </c>
      <c r="G17" s="297">
        <v>447</v>
      </c>
      <c r="H17" s="17">
        <f>G17*1.04</f>
        <v>464.88</v>
      </c>
      <c r="I17" s="17">
        <f>H17</f>
        <v>464.88</v>
      </c>
      <c r="J17" s="17">
        <f>I17</f>
        <v>464.88</v>
      </c>
      <c r="K17" s="17">
        <f>J17*1.04</f>
        <v>483.4752</v>
      </c>
      <c r="L17" s="17">
        <f>K17</f>
        <v>483.4752</v>
      </c>
      <c r="M17" s="17">
        <f>L17</f>
        <v>483.4752</v>
      </c>
      <c r="N17" s="17">
        <f>M17*1.04</f>
        <v>502.814208</v>
      </c>
      <c r="O17" s="17">
        <f>N17</f>
        <v>502.814208</v>
      </c>
      <c r="P17" s="17">
        <f>O17</f>
        <v>502.814208</v>
      </c>
      <c r="Q17" s="17">
        <f>P17*1.04</f>
        <v>522.92677632</v>
      </c>
    </row>
    <row r="18" s="1" customFormat="1" ht="13.5" customHeight="1" spans="2:17">
      <c r="B18" s="213" t="s">
        <v>264</v>
      </c>
      <c r="C18" s="297">
        <v>8</v>
      </c>
      <c r="D18" s="297">
        <v>1</v>
      </c>
      <c r="E18" s="297">
        <v>-9</v>
      </c>
      <c r="F18" s="297">
        <v>6</v>
      </c>
      <c r="G18" s="297">
        <v>51</v>
      </c>
      <c r="H18" s="292"/>
      <c r="I18" s="292"/>
      <c r="J18" s="292"/>
      <c r="K18" s="292"/>
      <c r="L18" s="292"/>
      <c r="M18" s="292"/>
      <c r="N18" s="292"/>
      <c r="O18" s="292"/>
      <c r="P18" s="292"/>
      <c r="Q18" s="292"/>
    </row>
    <row r="19" s="1" customFormat="1" ht="14.25" customHeight="1" spans="2:17">
      <c r="B19" s="268" t="s">
        <v>268</v>
      </c>
      <c r="C19" s="332">
        <f t="shared" ref="C19:Q19" si="3">C15-SUM(C16:C18)</f>
        <v>7124</v>
      </c>
      <c r="D19" s="333">
        <f t="shared" si="3"/>
        <v>7027</v>
      </c>
      <c r="E19" s="333">
        <f t="shared" si="3"/>
        <v>6849</v>
      </c>
      <c r="F19" s="333">
        <f t="shared" si="3"/>
        <v>6363</v>
      </c>
      <c r="G19" s="333">
        <f t="shared" si="3"/>
        <v>6718</v>
      </c>
      <c r="H19" s="334">
        <f t="shared" si="3"/>
        <v>6981.12</v>
      </c>
      <c r="I19" s="334">
        <f t="shared" si="3"/>
        <v>7244.24</v>
      </c>
      <c r="J19" s="334">
        <f t="shared" si="3"/>
        <v>7507.36</v>
      </c>
      <c r="K19" s="334">
        <f t="shared" si="3"/>
        <v>7781.0048</v>
      </c>
      <c r="L19" s="334">
        <f t="shared" si="3"/>
        <v>8054.6496</v>
      </c>
      <c r="M19" s="334">
        <f t="shared" si="3"/>
        <v>8328.2944</v>
      </c>
      <c r="N19" s="334">
        <f t="shared" si="3"/>
        <v>8612.884992</v>
      </c>
      <c r="O19" s="334">
        <f t="shared" si="3"/>
        <v>8897.475584</v>
      </c>
      <c r="P19" s="334">
        <f t="shared" si="3"/>
        <v>9182.066176</v>
      </c>
      <c r="Q19" s="334">
        <f t="shared" si="3"/>
        <v>9478.04039168</v>
      </c>
    </row>
    <row r="20" ht="14.25" customHeight="1" spans="2:17">
      <c r="B20" s="213"/>
      <c r="C20" s="15"/>
      <c r="D20" s="15"/>
      <c r="E20" s="15"/>
      <c r="F20" s="15"/>
      <c r="G20" s="15"/>
      <c r="H20" s="17"/>
      <c r="I20" s="17"/>
      <c r="J20" s="17"/>
      <c r="K20" s="17"/>
      <c r="L20" s="17"/>
      <c r="M20" s="17"/>
      <c r="N20" s="17"/>
      <c r="O20" s="17"/>
      <c r="P20" s="17"/>
      <c r="Q20" s="17"/>
    </row>
    <row r="21" ht="13.5" customHeight="1" spans="2:17">
      <c r="B21" s="268" t="s">
        <v>269</v>
      </c>
      <c r="C21" s="15"/>
      <c r="D21" s="15"/>
      <c r="E21" s="15"/>
      <c r="F21" s="15"/>
      <c r="G21" s="15"/>
      <c r="H21" s="17"/>
      <c r="I21" s="17"/>
      <c r="J21" s="17"/>
      <c r="K21" s="17"/>
      <c r="L21" s="17"/>
      <c r="M21" s="17"/>
      <c r="N21" s="17"/>
      <c r="O21" s="17"/>
      <c r="P21" s="17"/>
      <c r="Q21" s="17"/>
    </row>
    <row r="22" s="1" customFormat="1" ht="13.5" customHeight="1" spans="2:17">
      <c r="B22" s="268" t="s">
        <v>262</v>
      </c>
      <c r="C22" s="331">
        <v>7639</v>
      </c>
      <c r="D22" s="331">
        <f t="shared" ref="D22:Q22" si="4">C27</f>
        <v>8527</v>
      </c>
      <c r="E22" s="331">
        <f t="shared" si="4"/>
        <v>8519</v>
      </c>
      <c r="F22" s="331">
        <f t="shared" si="4"/>
        <v>8611</v>
      </c>
      <c r="G22" s="331">
        <f t="shared" si="4"/>
        <v>9306</v>
      </c>
      <c r="H22" s="292">
        <f t="shared" si="4"/>
        <v>9607</v>
      </c>
      <c r="I22" s="292">
        <f t="shared" si="4"/>
        <v>9916.92</v>
      </c>
      <c r="J22" s="292">
        <f t="shared" si="4"/>
        <v>10226.84</v>
      </c>
      <c r="K22" s="292">
        <f t="shared" si="4"/>
        <v>10536.76</v>
      </c>
      <c r="L22" s="292">
        <f t="shared" si="4"/>
        <v>10859.0768</v>
      </c>
      <c r="M22" s="292">
        <f t="shared" si="4"/>
        <v>11181.3936</v>
      </c>
      <c r="N22" s="292">
        <f t="shared" si="4"/>
        <v>11503.7104</v>
      </c>
      <c r="O22" s="292">
        <f t="shared" si="4"/>
        <v>11838.919872</v>
      </c>
      <c r="P22" s="292">
        <f t="shared" si="4"/>
        <v>12174.129344</v>
      </c>
      <c r="Q22" s="292">
        <f t="shared" si="4"/>
        <v>12509.338816</v>
      </c>
    </row>
    <row r="23" ht="13.5" customHeight="1" spans="2:17">
      <c r="B23" s="213" t="s">
        <v>270</v>
      </c>
      <c r="C23" s="297">
        <v>0</v>
      </c>
      <c r="D23" s="297">
        <v>6</v>
      </c>
      <c r="E23" s="297">
        <v>0</v>
      </c>
      <c r="F23" s="297">
        <v>6</v>
      </c>
      <c r="G23" s="297">
        <v>3</v>
      </c>
      <c r="H23" s="17"/>
      <c r="I23" s="17"/>
      <c r="J23" s="17"/>
      <c r="K23" s="17"/>
      <c r="L23" s="17"/>
      <c r="M23" s="17"/>
      <c r="N23" s="17"/>
      <c r="O23" s="17"/>
      <c r="P23" s="17"/>
      <c r="Q23" s="17"/>
    </row>
    <row r="24" ht="13.5" customHeight="1" spans="2:17">
      <c r="B24" s="213" t="s">
        <v>263</v>
      </c>
      <c r="C24" s="297">
        <v>1542</v>
      </c>
      <c r="D24" s="297">
        <v>1510</v>
      </c>
      <c r="E24" s="297">
        <v>931</v>
      </c>
      <c r="F24" s="297">
        <v>1317</v>
      </c>
      <c r="G24" s="297">
        <v>1524</v>
      </c>
      <c r="H24" s="17">
        <f>G24*1.04</f>
        <v>1584.96</v>
      </c>
      <c r="I24" s="17">
        <f>H24</f>
        <v>1584.96</v>
      </c>
      <c r="J24" s="17">
        <f>I24</f>
        <v>1584.96</v>
      </c>
      <c r="K24" s="17">
        <f>J24*1.04</f>
        <v>1648.3584</v>
      </c>
      <c r="L24" s="17">
        <f>K24</f>
        <v>1648.3584</v>
      </c>
      <c r="M24" s="17">
        <f>L24</f>
        <v>1648.3584</v>
      </c>
      <c r="N24" s="17">
        <f>M24*1.04</f>
        <v>1714.292736</v>
      </c>
      <c r="O24" s="17">
        <f>N24</f>
        <v>1714.292736</v>
      </c>
      <c r="P24" s="17">
        <f>O24</f>
        <v>1714.292736</v>
      </c>
      <c r="Q24" s="17">
        <f>P24*1.04</f>
        <v>1782.86444544</v>
      </c>
    </row>
    <row r="25" ht="13.5" customHeight="1" spans="2:17">
      <c r="B25" s="213" t="s">
        <v>264</v>
      </c>
      <c r="C25" s="297">
        <v>18</v>
      </c>
      <c r="D25" s="297">
        <v>39</v>
      </c>
      <c r="E25" s="297">
        <v>7</v>
      </c>
      <c r="F25" s="297">
        <v>5</v>
      </c>
      <c r="G25" s="297">
        <v>99</v>
      </c>
      <c r="H25" s="17">
        <f>G25*1.04</f>
        <v>102.96</v>
      </c>
      <c r="I25" s="17">
        <f>H25</f>
        <v>102.96</v>
      </c>
      <c r="J25" s="17">
        <f>I25</f>
        <v>102.96</v>
      </c>
      <c r="K25" s="17">
        <f>J25*1.04</f>
        <v>107.0784</v>
      </c>
      <c r="L25" s="17">
        <f>K25</f>
        <v>107.0784</v>
      </c>
      <c r="M25" s="17">
        <f>L25</f>
        <v>107.0784</v>
      </c>
      <c r="N25" s="17">
        <f>M25*1.04</f>
        <v>111.361536</v>
      </c>
      <c r="O25" s="17">
        <f>N25</f>
        <v>111.361536</v>
      </c>
      <c r="P25" s="17">
        <f>O25</f>
        <v>111.361536</v>
      </c>
      <c r="Q25" s="17">
        <f>P25*1.04</f>
        <v>115.81599744</v>
      </c>
    </row>
    <row r="26" ht="13.5" customHeight="1" spans="2:17">
      <c r="B26" s="213" t="s">
        <v>271</v>
      </c>
      <c r="C26" s="297">
        <v>-672</v>
      </c>
      <c r="D26" s="297">
        <v>-1563</v>
      </c>
      <c r="E26" s="297">
        <v>-846</v>
      </c>
      <c r="F26" s="297">
        <v>-633</v>
      </c>
      <c r="G26" s="297">
        <v>-1325</v>
      </c>
      <c r="H26" s="17">
        <f>G26*1.04</f>
        <v>-1378</v>
      </c>
      <c r="I26" s="17">
        <f>H26</f>
        <v>-1378</v>
      </c>
      <c r="J26" s="17">
        <f>I26</f>
        <v>-1378</v>
      </c>
      <c r="K26" s="17">
        <f>J26*1.04</f>
        <v>-1433.12</v>
      </c>
      <c r="L26" s="17">
        <f>K26</f>
        <v>-1433.12</v>
      </c>
      <c r="M26" s="17">
        <f>L26</f>
        <v>-1433.12</v>
      </c>
      <c r="N26" s="17">
        <f>M26*1.04</f>
        <v>-1490.4448</v>
      </c>
      <c r="O26" s="17">
        <f>N26</f>
        <v>-1490.4448</v>
      </c>
      <c r="P26" s="17">
        <f>O26</f>
        <v>-1490.4448</v>
      </c>
      <c r="Q26" s="17">
        <f>P26*1.04</f>
        <v>-1550.062592</v>
      </c>
    </row>
    <row r="27" ht="13.5" customHeight="1" spans="2:17">
      <c r="B27" s="268" t="s">
        <v>265</v>
      </c>
      <c r="C27" s="291">
        <f t="shared" ref="C27:Q27" si="5">SUM(C22:C26)</f>
        <v>8527</v>
      </c>
      <c r="D27" s="291">
        <f t="shared" si="5"/>
        <v>8519</v>
      </c>
      <c r="E27" s="291">
        <f t="shared" si="5"/>
        <v>8611</v>
      </c>
      <c r="F27" s="291">
        <f t="shared" si="5"/>
        <v>9306</v>
      </c>
      <c r="G27" s="291">
        <f t="shared" si="5"/>
        <v>9607</v>
      </c>
      <c r="H27" s="292">
        <f t="shared" si="5"/>
        <v>9916.92</v>
      </c>
      <c r="I27" s="292">
        <f t="shared" si="5"/>
        <v>10226.84</v>
      </c>
      <c r="J27" s="292">
        <f t="shared" si="5"/>
        <v>10536.76</v>
      </c>
      <c r="K27" s="292">
        <f t="shared" si="5"/>
        <v>10859.0768</v>
      </c>
      <c r="L27" s="292">
        <f t="shared" si="5"/>
        <v>11181.3936</v>
      </c>
      <c r="M27" s="292">
        <f t="shared" si="5"/>
        <v>11503.7104</v>
      </c>
      <c r="N27" s="292">
        <f t="shared" si="5"/>
        <v>11838.919872</v>
      </c>
      <c r="O27" s="292">
        <f t="shared" si="5"/>
        <v>12174.129344</v>
      </c>
      <c r="P27" s="292">
        <f t="shared" si="5"/>
        <v>12509.338816</v>
      </c>
      <c r="Q27" s="292">
        <f t="shared" si="5"/>
        <v>12857.95666688</v>
      </c>
    </row>
    <row r="28" ht="13.5" customHeight="1" spans="2:17">
      <c r="B28" s="213" t="s">
        <v>266</v>
      </c>
      <c r="C28" s="297">
        <v>5636</v>
      </c>
      <c r="D28" s="297">
        <f t="shared" ref="D28:Q28" si="6">SUM(C28:C31)</f>
        <v>6034</v>
      </c>
      <c r="E28" s="297">
        <f t="shared" si="6"/>
        <v>5826</v>
      </c>
      <c r="F28" s="297">
        <f t="shared" si="6"/>
        <v>6380</v>
      </c>
      <c r="G28" s="297">
        <f t="shared" si="6"/>
        <v>7013</v>
      </c>
      <c r="H28" s="17">
        <f t="shared" si="6"/>
        <v>6850</v>
      </c>
      <c r="I28" s="17">
        <f t="shared" si="6"/>
        <v>6680.48</v>
      </c>
      <c r="J28" s="17">
        <f t="shared" si="6"/>
        <v>6510.96</v>
      </c>
      <c r="K28" s="17">
        <f t="shared" si="6"/>
        <v>6341.44</v>
      </c>
      <c r="L28" s="17">
        <f t="shared" si="6"/>
        <v>6165.1392</v>
      </c>
      <c r="M28" s="17">
        <f t="shared" si="6"/>
        <v>5988.8384</v>
      </c>
      <c r="N28" s="17">
        <f t="shared" si="6"/>
        <v>5812.5376</v>
      </c>
      <c r="O28" s="17">
        <f t="shared" si="6"/>
        <v>5629.184768</v>
      </c>
      <c r="P28" s="17">
        <f t="shared" si="6"/>
        <v>5445.831936</v>
      </c>
      <c r="Q28" s="17">
        <f t="shared" si="6"/>
        <v>5262.479104</v>
      </c>
    </row>
    <row r="29" ht="13.5" customHeight="1" spans="2:17">
      <c r="B29" s="213" t="s">
        <v>267</v>
      </c>
      <c r="C29" s="297">
        <v>1055</v>
      </c>
      <c r="D29" s="297">
        <v>1322</v>
      </c>
      <c r="E29" s="297">
        <v>1387</v>
      </c>
      <c r="F29" s="297">
        <v>1249</v>
      </c>
      <c r="G29" s="297">
        <v>1079</v>
      </c>
      <c r="H29" s="17">
        <f>G29*1.04</f>
        <v>1122.16</v>
      </c>
      <c r="I29" s="17">
        <f>H29</f>
        <v>1122.16</v>
      </c>
      <c r="J29" s="17">
        <f>I29</f>
        <v>1122.16</v>
      </c>
      <c r="K29" s="17">
        <f>J29*1.04</f>
        <v>1167.0464</v>
      </c>
      <c r="L29" s="17">
        <f>K29</f>
        <v>1167.0464</v>
      </c>
      <c r="M29" s="17">
        <f>L29</f>
        <v>1167.0464</v>
      </c>
      <c r="N29" s="17">
        <f>M29*1.04</f>
        <v>1213.728256</v>
      </c>
      <c r="O29" s="17">
        <f>N29</f>
        <v>1213.728256</v>
      </c>
      <c r="P29" s="17">
        <f>O29</f>
        <v>1213.728256</v>
      </c>
      <c r="Q29" s="17">
        <f>P29*1.04</f>
        <v>1262.27738624</v>
      </c>
    </row>
    <row r="30" ht="13.5" customHeight="1" spans="2:17">
      <c r="B30" s="213" t="s">
        <v>264</v>
      </c>
      <c r="C30" s="297">
        <v>14</v>
      </c>
      <c r="D30" s="297">
        <v>26</v>
      </c>
      <c r="E30" s="297">
        <v>3</v>
      </c>
      <c r="F30" s="297">
        <v>0</v>
      </c>
      <c r="G30" s="297">
        <v>60</v>
      </c>
      <c r="H30" s="17">
        <f>G30*1.04</f>
        <v>62.4</v>
      </c>
      <c r="I30" s="17">
        <f>H30</f>
        <v>62.4</v>
      </c>
      <c r="J30" s="17">
        <f>I30</f>
        <v>62.4</v>
      </c>
      <c r="K30" s="17">
        <f>J30*1.04</f>
        <v>64.896</v>
      </c>
      <c r="L30" s="17">
        <f>K30</f>
        <v>64.896</v>
      </c>
      <c r="M30" s="17">
        <f>L30</f>
        <v>64.896</v>
      </c>
      <c r="N30" s="17">
        <f>M30*1.04</f>
        <v>67.49184</v>
      </c>
      <c r="O30" s="17">
        <f>N30</f>
        <v>67.49184</v>
      </c>
      <c r="P30" s="17">
        <f>O30</f>
        <v>67.49184</v>
      </c>
      <c r="Q30" s="17">
        <f>P30*1.04</f>
        <v>70.1915136</v>
      </c>
    </row>
    <row r="31" ht="13.5" customHeight="1" spans="2:17">
      <c r="B31" s="213" t="s">
        <v>271</v>
      </c>
      <c r="C31" s="297">
        <v>-671</v>
      </c>
      <c r="D31" s="297">
        <v>-1556</v>
      </c>
      <c r="E31" s="297">
        <v>-836</v>
      </c>
      <c r="F31" s="297">
        <v>-616</v>
      </c>
      <c r="G31" s="297">
        <v>-1302</v>
      </c>
      <c r="H31" s="17">
        <f>G31*1.04</f>
        <v>-1354.08</v>
      </c>
      <c r="I31" s="17">
        <f>H31</f>
        <v>-1354.08</v>
      </c>
      <c r="J31" s="17">
        <f>I31</f>
        <v>-1354.08</v>
      </c>
      <c r="K31" s="17">
        <f>J31*1.04</f>
        <v>-1408.2432</v>
      </c>
      <c r="L31" s="17">
        <f>K31</f>
        <v>-1408.2432</v>
      </c>
      <c r="M31" s="17">
        <f>L31</f>
        <v>-1408.2432</v>
      </c>
      <c r="N31" s="17">
        <f>M31*1.04</f>
        <v>-1464.572928</v>
      </c>
      <c r="O31" s="17">
        <f>N31</f>
        <v>-1464.572928</v>
      </c>
      <c r="P31" s="17">
        <f>O31</f>
        <v>-1464.572928</v>
      </c>
      <c r="Q31" s="17">
        <f>P31*1.04</f>
        <v>-1523.15584512</v>
      </c>
    </row>
    <row r="32" ht="14.25" customHeight="1" spans="2:17">
      <c r="B32" s="268" t="s">
        <v>268</v>
      </c>
      <c r="C32" s="332">
        <f t="shared" ref="C32:Q32" si="7">C27-SUM(C28:C31)</f>
        <v>2493</v>
      </c>
      <c r="D32" s="333">
        <f t="shared" si="7"/>
        <v>2693</v>
      </c>
      <c r="E32" s="333">
        <f t="shared" si="7"/>
        <v>2231</v>
      </c>
      <c r="F32" s="333">
        <f t="shared" si="7"/>
        <v>2293</v>
      </c>
      <c r="G32" s="333">
        <f t="shared" si="7"/>
        <v>2757</v>
      </c>
      <c r="H32" s="334">
        <f t="shared" si="7"/>
        <v>3236.44</v>
      </c>
      <c r="I32" s="334">
        <f t="shared" si="7"/>
        <v>3715.88</v>
      </c>
      <c r="J32" s="334">
        <f t="shared" si="7"/>
        <v>4195.32</v>
      </c>
      <c r="K32" s="334">
        <f t="shared" si="7"/>
        <v>4693.9376</v>
      </c>
      <c r="L32" s="334">
        <f t="shared" si="7"/>
        <v>5192.5552</v>
      </c>
      <c r="M32" s="334">
        <f t="shared" si="7"/>
        <v>5691.1728</v>
      </c>
      <c r="N32" s="334">
        <f t="shared" si="7"/>
        <v>6209.735104</v>
      </c>
      <c r="O32" s="334">
        <f t="shared" si="7"/>
        <v>6728.297408</v>
      </c>
      <c r="P32" s="334">
        <f t="shared" si="7"/>
        <v>7246.85971199999</v>
      </c>
      <c r="Q32" s="334">
        <f t="shared" si="7"/>
        <v>7786.16450816</v>
      </c>
    </row>
    <row r="33" ht="14.25" customHeight="1" spans="2:34">
      <c r="B33" s="268"/>
      <c r="C33" s="15"/>
      <c r="D33" s="15"/>
      <c r="E33" s="15"/>
      <c r="F33" s="15"/>
      <c r="G33" s="15"/>
      <c r="H33" s="17"/>
      <c r="I33" s="17"/>
      <c r="J33" s="17"/>
      <c r="K33" s="17"/>
      <c r="L33" s="17"/>
      <c r="M33" s="17"/>
      <c r="N33" s="17"/>
      <c r="O33" s="17"/>
      <c r="P33" s="17"/>
      <c r="Q33" s="17"/>
    </row>
    <row r="34" s="1" customFormat="1" ht="13.5" customHeight="1" spans="2:34">
      <c r="B34" s="268" t="s">
        <v>272</v>
      </c>
      <c r="C34" s="291"/>
      <c r="D34" s="291"/>
      <c r="E34" s="291"/>
      <c r="F34" s="291"/>
      <c r="G34" s="291"/>
      <c r="H34" s="17"/>
      <c r="I34" s="292"/>
      <c r="J34" s="292"/>
      <c r="K34" s="292"/>
      <c r="L34" s="292"/>
      <c r="M34" s="292"/>
      <c r="N34" s="292"/>
      <c r="O34" s="292"/>
      <c r="P34" s="292"/>
      <c r="Q34" s="292"/>
    </row>
    <row r="35" s="1" customFormat="1" ht="13.5" customHeight="1" spans="2:34">
      <c r="B35" s="268" t="s">
        <v>262</v>
      </c>
      <c r="C35" s="331">
        <v>3296</v>
      </c>
      <c r="D35" s="331">
        <f t="shared" ref="D35:Q35" si="8">C39</f>
        <v>3210</v>
      </c>
      <c r="E35" s="331">
        <f t="shared" si="8"/>
        <v>3302</v>
      </c>
      <c r="F35" s="331">
        <f t="shared" si="8"/>
        <v>3428</v>
      </c>
      <c r="G35" s="331">
        <f t="shared" si="8"/>
        <v>3461</v>
      </c>
      <c r="H35" s="292">
        <f t="shared" si="8"/>
        <v>3714</v>
      </c>
      <c r="I35" s="292">
        <f t="shared" si="8"/>
        <v>3977.12</v>
      </c>
      <c r="J35" s="292">
        <f t="shared" si="8"/>
        <v>4240.24</v>
      </c>
      <c r="K35" s="292">
        <f t="shared" si="8"/>
        <v>4503.36</v>
      </c>
      <c r="L35" s="292">
        <f t="shared" si="8"/>
        <v>4777.0048</v>
      </c>
      <c r="M35" s="292">
        <f t="shared" si="8"/>
        <v>5050.6496</v>
      </c>
      <c r="N35" s="292">
        <f t="shared" si="8"/>
        <v>5324.2944</v>
      </c>
      <c r="O35" s="292">
        <f t="shared" si="8"/>
        <v>5608.884992</v>
      </c>
      <c r="P35" s="292">
        <f t="shared" si="8"/>
        <v>5893.475584</v>
      </c>
      <c r="Q35" s="292">
        <f t="shared" si="8"/>
        <v>6178.066176</v>
      </c>
    </row>
    <row r="36" ht="13.5" customHeight="1" spans="2:34">
      <c r="B36" s="213" t="s">
        <v>263</v>
      </c>
      <c r="C36" s="297">
        <v>256</v>
      </c>
      <c r="D36" s="297">
        <v>273</v>
      </c>
      <c r="E36" s="297">
        <v>193</v>
      </c>
      <c r="F36" s="297">
        <v>63</v>
      </c>
      <c r="G36" s="297">
        <v>270</v>
      </c>
      <c r="H36" s="17">
        <f>G36*1.04</f>
        <v>280.8</v>
      </c>
      <c r="I36" s="17">
        <f>H36</f>
        <v>280.8</v>
      </c>
      <c r="J36" s="17">
        <f>I36</f>
        <v>280.8</v>
      </c>
      <c r="K36" s="17">
        <f>J36*1.04</f>
        <v>292.032</v>
      </c>
      <c r="L36" s="17">
        <f>K36</f>
        <v>292.032</v>
      </c>
      <c r="M36" s="17">
        <f>L36</f>
        <v>292.032</v>
      </c>
      <c r="N36" s="17">
        <f>M36*1.04</f>
        <v>303.71328</v>
      </c>
      <c r="O36" s="17">
        <f>N36</f>
        <v>303.71328</v>
      </c>
      <c r="P36" s="17">
        <f>O36</f>
        <v>303.71328</v>
      </c>
      <c r="Q36" s="17">
        <f>P36*1.04</f>
        <v>315.8618112</v>
      </c>
      <c r="W36" s="25"/>
      <c r="X36" s="25"/>
      <c r="Y36" s="25"/>
      <c r="Z36" s="25"/>
      <c r="AA36" s="25"/>
      <c r="AB36" s="15"/>
      <c r="AD36" s="15"/>
      <c r="AE36" s="15"/>
      <c r="AF36" s="15"/>
      <c r="AG36" s="14"/>
      <c r="AH36" s="14"/>
    </row>
    <row r="37" ht="13.5" customHeight="1" spans="2:34">
      <c r="B37" s="213" t="s">
        <v>264</v>
      </c>
      <c r="C37" s="297">
        <v>7</v>
      </c>
      <c r="D37" s="297">
        <v>1</v>
      </c>
      <c r="E37" s="297">
        <v>-3</v>
      </c>
      <c r="F37" s="297">
        <v>1</v>
      </c>
      <c r="G37" s="297">
        <v>14</v>
      </c>
      <c r="H37" s="17">
        <f>G37*1.04</f>
        <v>14.56</v>
      </c>
      <c r="I37" s="17">
        <f>H37</f>
        <v>14.56</v>
      </c>
      <c r="J37" s="17">
        <f>I37</f>
        <v>14.56</v>
      </c>
      <c r="K37" s="17">
        <f>J37*1.04</f>
        <v>15.1424</v>
      </c>
      <c r="L37" s="17">
        <f>K37</f>
        <v>15.1424</v>
      </c>
      <c r="M37" s="17">
        <f>L37</f>
        <v>15.1424</v>
      </c>
      <c r="N37" s="17">
        <f>M37*1.04</f>
        <v>15.748096</v>
      </c>
      <c r="O37" s="17">
        <f>N37</f>
        <v>15.748096</v>
      </c>
      <c r="P37" s="17">
        <f>O37</f>
        <v>15.748096</v>
      </c>
      <c r="Q37" s="17">
        <f>P37*1.04</f>
        <v>16.37801984</v>
      </c>
      <c r="W37" s="25"/>
      <c r="X37" s="25"/>
      <c r="Y37" s="25"/>
      <c r="Z37" s="25"/>
      <c r="AA37" s="25"/>
      <c r="AB37" s="15"/>
      <c r="AD37" s="15"/>
      <c r="AE37" s="15"/>
      <c r="AF37" s="15"/>
      <c r="AG37" s="14"/>
      <c r="AH37" s="14"/>
    </row>
    <row r="38" ht="13.5" customHeight="1" spans="2:34">
      <c r="B38" s="213" t="s">
        <v>271</v>
      </c>
      <c r="C38" s="297">
        <v>-349</v>
      </c>
      <c r="D38" s="297">
        <v>-182</v>
      </c>
      <c r="E38" s="297">
        <v>-64</v>
      </c>
      <c r="F38" s="297">
        <v>-31</v>
      </c>
      <c r="G38" s="297">
        <v>-31</v>
      </c>
      <c r="H38" s="17">
        <f>G38*1.04</f>
        <v>-32.24</v>
      </c>
      <c r="I38" s="17">
        <f>H38</f>
        <v>-32.24</v>
      </c>
      <c r="J38" s="17">
        <f>I38</f>
        <v>-32.24</v>
      </c>
      <c r="K38" s="17">
        <f>J38*1.04</f>
        <v>-33.5296</v>
      </c>
      <c r="L38" s="17">
        <f>K38</f>
        <v>-33.5296</v>
      </c>
      <c r="M38" s="17">
        <f>L38</f>
        <v>-33.5296</v>
      </c>
      <c r="N38" s="17">
        <f>M38*1.04</f>
        <v>-34.870784</v>
      </c>
      <c r="O38" s="17">
        <f>N38</f>
        <v>-34.870784</v>
      </c>
      <c r="P38" s="17">
        <f>O38</f>
        <v>-34.870784</v>
      </c>
      <c r="Q38" s="17">
        <f>P38*1.04</f>
        <v>-36.26561536</v>
      </c>
      <c r="W38" s="25"/>
      <c r="X38" s="25"/>
      <c r="Y38" s="25"/>
      <c r="Z38" s="25"/>
      <c r="AA38" s="25"/>
      <c r="AB38" s="15"/>
      <c r="AD38" s="15"/>
      <c r="AE38" s="15"/>
      <c r="AF38" s="15"/>
      <c r="AG38" s="14"/>
      <c r="AH38" s="14"/>
    </row>
    <row r="39" ht="13.5" customHeight="1" spans="2:34">
      <c r="B39" s="268" t="s">
        <v>265</v>
      </c>
      <c r="C39" s="291">
        <f t="shared" ref="C39:Q39" si="9">SUM(C35:C38)</f>
        <v>3210</v>
      </c>
      <c r="D39" s="291">
        <f t="shared" si="9"/>
        <v>3302</v>
      </c>
      <c r="E39" s="291">
        <f t="shared" si="9"/>
        <v>3428</v>
      </c>
      <c r="F39" s="291">
        <f t="shared" si="9"/>
        <v>3461</v>
      </c>
      <c r="G39" s="291">
        <f t="shared" si="9"/>
        <v>3714</v>
      </c>
      <c r="H39" s="292">
        <f t="shared" si="9"/>
        <v>3977.12</v>
      </c>
      <c r="I39" s="292">
        <f t="shared" si="9"/>
        <v>4240.24</v>
      </c>
      <c r="J39" s="292">
        <f t="shared" si="9"/>
        <v>4503.36</v>
      </c>
      <c r="K39" s="292">
        <f t="shared" si="9"/>
        <v>4777.0048</v>
      </c>
      <c r="L39" s="292">
        <f t="shared" si="9"/>
        <v>5050.6496</v>
      </c>
      <c r="M39" s="292">
        <f t="shared" si="9"/>
        <v>5324.2944</v>
      </c>
      <c r="N39" s="292">
        <f t="shared" si="9"/>
        <v>5608.884992</v>
      </c>
      <c r="O39" s="292">
        <f t="shared" si="9"/>
        <v>5893.475584</v>
      </c>
      <c r="P39" s="292">
        <f t="shared" si="9"/>
        <v>6178.066176</v>
      </c>
      <c r="Q39" s="292">
        <f t="shared" si="9"/>
        <v>6474.04039168</v>
      </c>
      <c r="W39" s="25"/>
      <c r="X39" s="25"/>
      <c r="Y39" s="25"/>
      <c r="Z39" s="25"/>
      <c r="AA39" s="25"/>
      <c r="AB39" s="15"/>
      <c r="AD39" s="15"/>
      <c r="AE39" s="15"/>
      <c r="AF39" s="15"/>
      <c r="AG39" s="14"/>
      <c r="AH39" s="14"/>
    </row>
    <row r="40" ht="13.5" customHeight="1" spans="2:34">
      <c r="B40" s="213" t="s">
        <v>266</v>
      </c>
      <c r="C40" s="297">
        <v>2425</v>
      </c>
      <c r="D40" s="297">
        <f t="shared" ref="D40:Q40" si="10">SUM(C40:C43)</f>
        <v>2344</v>
      </c>
      <c r="E40" s="297">
        <f t="shared" si="10"/>
        <v>2437</v>
      </c>
      <c r="F40" s="297">
        <f t="shared" si="10"/>
        <v>2630</v>
      </c>
      <c r="G40" s="297">
        <f t="shared" si="10"/>
        <v>2813</v>
      </c>
      <c r="H40" s="17">
        <f t="shared" si="10"/>
        <v>2985</v>
      </c>
      <c r="I40" s="17">
        <f t="shared" si="10"/>
        <v>3163.88</v>
      </c>
      <c r="J40" s="17">
        <f t="shared" si="10"/>
        <v>3342.76</v>
      </c>
      <c r="K40" s="17">
        <f t="shared" si="10"/>
        <v>3521.64</v>
      </c>
      <c r="L40" s="17">
        <f t="shared" si="10"/>
        <v>3707.6752</v>
      </c>
      <c r="M40" s="17">
        <f t="shared" si="10"/>
        <v>3893.7104</v>
      </c>
      <c r="N40" s="17">
        <f t="shared" si="10"/>
        <v>4079.7456</v>
      </c>
      <c r="O40" s="17">
        <f t="shared" si="10"/>
        <v>4273.222208</v>
      </c>
      <c r="P40" s="17">
        <f t="shared" si="10"/>
        <v>4466.698816</v>
      </c>
      <c r="Q40" s="17">
        <f t="shared" si="10"/>
        <v>4660.175424</v>
      </c>
      <c r="W40" s="25"/>
      <c r="X40" s="25"/>
      <c r="Y40" s="25"/>
      <c r="Z40" s="25"/>
      <c r="AA40" s="25"/>
      <c r="AB40" s="15"/>
      <c r="AD40" s="15"/>
      <c r="AE40" s="15"/>
      <c r="AF40" s="15"/>
      <c r="AG40" s="14"/>
      <c r="AH40" s="14"/>
    </row>
    <row r="41" ht="13.5" customHeight="1" spans="2:34">
      <c r="B41" s="213" t="s">
        <v>267</v>
      </c>
      <c r="C41" s="297">
        <v>245</v>
      </c>
      <c r="D41" s="297">
        <v>273</v>
      </c>
      <c r="E41" s="297">
        <v>259</v>
      </c>
      <c r="F41" s="297">
        <v>203</v>
      </c>
      <c r="G41" s="297">
        <v>188</v>
      </c>
      <c r="H41" s="17">
        <f>G41*1.04</f>
        <v>195.52</v>
      </c>
      <c r="I41" s="17">
        <f>H41</f>
        <v>195.52</v>
      </c>
      <c r="J41" s="17">
        <f>I41</f>
        <v>195.52</v>
      </c>
      <c r="K41" s="17">
        <f>J41*1.04</f>
        <v>203.3408</v>
      </c>
      <c r="L41" s="17">
        <f>K41</f>
        <v>203.3408</v>
      </c>
      <c r="M41" s="17">
        <f>L41</f>
        <v>203.3408</v>
      </c>
      <c r="N41" s="17">
        <f>M41*1.04</f>
        <v>211.474432</v>
      </c>
      <c r="O41" s="17">
        <f>N41</f>
        <v>211.474432</v>
      </c>
      <c r="P41" s="17">
        <f>O41</f>
        <v>211.474432</v>
      </c>
      <c r="Q41" s="17">
        <f>P41*1.04</f>
        <v>219.93340928</v>
      </c>
      <c r="R41" s="15"/>
    </row>
    <row r="42" ht="13.5" customHeight="1" spans="2:34">
      <c r="B42" s="213" t="s">
        <v>264</v>
      </c>
      <c r="C42" s="297">
        <v>4</v>
      </c>
      <c r="D42" s="297">
        <v>1</v>
      </c>
      <c r="E42" s="297">
        <v>-2</v>
      </c>
      <c r="F42" s="297">
        <v>1</v>
      </c>
      <c r="G42" s="297">
        <v>14</v>
      </c>
      <c r="H42" s="17">
        <f>G42*1.04</f>
        <v>14.56</v>
      </c>
      <c r="I42" s="17">
        <f>H42</f>
        <v>14.56</v>
      </c>
      <c r="J42" s="17">
        <f>I42</f>
        <v>14.56</v>
      </c>
      <c r="K42" s="17">
        <f>J42*1.04</f>
        <v>15.1424</v>
      </c>
      <c r="L42" s="17">
        <f>K42</f>
        <v>15.1424</v>
      </c>
      <c r="M42" s="17">
        <f>L42</f>
        <v>15.1424</v>
      </c>
      <c r="N42" s="17">
        <f>M42*1.04</f>
        <v>15.748096</v>
      </c>
      <c r="O42" s="17">
        <f>N42</f>
        <v>15.748096</v>
      </c>
      <c r="P42" s="17">
        <f>O42</f>
        <v>15.748096</v>
      </c>
      <c r="Q42" s="17">
        <f>P42*1.04</f>
        <v>16.37801984</v>
      </c>
    </row>
    <row r="43" ht="13.5" customHeight="1" spans="2:34">
      <c r="B43" s="213" t="s">
        <v>271</v>
      </c>
      <c r="C43" s="297">
        <v>-330</v>
      </c>
      <c r="D43" s="297">
        <v>-181</v>
      </c>
      <c r="E43" s="297">
        <v>-64</v>
      </c>
      <c r="F43" s="297">
        <v>-21</v>
      </c>
      <c r="G43" s="297">
        <v>-30</v>
      </c>
      <c r="H43" s="17">
        <f>G43*1.04</f>
        <v>-31.2</v>
      </c>
      <c r="I43" s="17">
        <f>H43</f>
        <v>-31.2</v>
      </c>
      <c r="J43" s="17">
        <f>I43</f>
        <v>-31.2</v>
      </c>
      <c r="K43" s="17">
        <f>J43*1.04</f>
        <v>-32.448</v>
      </c>
      <c r="L43" s="17">
        <f>K43</f>
        <v>-32.448</v>
      </c>
      <c r="M43" s="17">
        <f>L43</f>
        <v>-32.448</v>
      </c>
      <c r="N43" s="17">
        <f>M43*1.04</f>
        <v>-33.74592</v>
      </c>
      <c r="O43" s="17">
        <f>N43</f>
        <v>-33.74592</v>
      </c>
      <c r="P43" s="17">
        <f>O43</f>
        <v>-33.74592</v>
      </c>
      <c r="Q43" s="17">
        <f>P43*1.04</f>
        <v>-35.0957568</v>
      </c>
      <c r="W43" s="25"/>
      <c r="X43" s="25"/>
      <c r="Y43" s="25"/>
      <c r="Z43" s="25"/>
      <c r="AA43" s="25"/>
      <c r="AB43" s="15"/>
      <c r="AD43" s="15"/>
      <c r="AE43" s="15"/>
      <c r="AF43" s="15"/>
      <c r="AG43" s="14"/>
      <c r="AH43" s="14"/>
    </row>
    <row r="44" s="1" customFormat="1" ht="14.25" customHeight="1" spans="2:34">
      <c r="B44" s="268" t="s">
        <v>268</v>
      </c>
      <c r="C44" s="333">
        <f t="shared" ref="C44:Q44" si="11">C39-SUM(C40:C43)</f>
        <v>866</v>
      </c>
      <c r="D44" s="333">
        <f t="shared" si="11"/>
        <v>865</v>
      </c>
      <c r="E44" s="333">
        <f t="shared" si="11"/>
        <v>798</v>
      </c>
      <c r="F44" s="333">
        <f t="shared" si="11"/>
        <v>648</v>
      </c>
      <c r="G44" s="333">
        <f t="shared" si="11"/>
        <v>729</v>
      </c>
      <c r="H44" s="334">
        <f t="shared" si="11"/>
        <v>813.24</v>
      </c>
      <c r="I44" s="334">
        <f t="shared" si="11"/>
        <v>897.48</v>
      </c>
      <c r="J44" s="334">
        <f t="shared" si="11"/>
        <v>981.720000000001</v>
      </c>
      <c r="K44" s="334">
        <f t="shared" si="11"/>
        <v>1069.3296</v>
      </c>
      <c r="L44" s="334">
        <f t="shared" si="11"/>
        <v>1156.9392</v>
      </c>
      <c r="M44" s="334">
        <f t="shared" si="11"/>
        <v>1244.5488</v>
      </c>
      <c r="N44" s="334">
        <f t="shared" si="11"/>
        <v>1335.662784</v>
      </c>
      <c r="O44" s="334">
        <f t="shared" si="11"/>
        <v>1426.776768</v>
      </c>
      <c r="P44" s="334">
        <f t="shared" si="11"/>
        <v>1517.890752</v>
      </c>
      <c r="Q44" s="334">
        <f t="shared" si="11"/>
        <v>1612.64929536</v>
      </c>
    </row>
    <row r="45" ht="14.25" customHeight="1" spans="2:34">
      <c r="B45" s="213"/>
      <c r="C45" s="15"/>
      <c r="D45" s="15"/>
      <c r="E45" s="15"/>
      <c r="F45" s="15"/>
      <c r="G45" s="15"/>
      <c r="H45" s="17"/>
      <c r="I45" s="17"/>
      <c r="J45" s="17"/>
      <c r="K45" s="17"/>
      <c r="L45" s="17"/>
      <c r="M45" s="17"/>
      <c r="N45" s="17"/>
      <c r="O45" s="17"/>
      <c r="P45" s="17"/>
      <c r="Q45" s="17"/>
    </row>
    <row r="46" ht="13.5" customHeight="1" spans="2:34">
      <c r="B46" s="268" t="s">
        <v>273</v>
      </c>
      <c r="H46" s="17"/>
      <c r="I46" s="17"/>
      <c r="J46" s="17"/>
      <c r="K46" s="17"/>
      <c r="L46" s="17"/>
      <c r="M46" s="17"/>
      <c r="N46" s="17"/>
      <c r="O46" s="17"/>
      <c r="P46" s="17"/>
      <c r="Q46" s="17"/>
    </row>
    <row r="47" s="1" customFormat="1" ht="13.5" customHeight="1" spans="2:34">
      <c r="B47" s="268" t="s">
        <v>262</v>
      </c>
      <c r="C47" s="331">
        <v>2149</v>
      </c>
      <c r="D47" s="331">
        <f t="shared" ref="D47:Q47" si="12">C52</f>
        <v>2278</v>
      </c>
      <c r="E47" s="331">
        <f t="shared" si="12"/>
        <v>2303</v>
      </c>
      <c r="F47" s="331">
        <f t="shared" si="12"/>
        <v>2326</v>
      </c>
      <c r="G47" s="331">
        <f t="shared" si="12"/>
        <v>2340</v>
      </c>
      <c r="H47" s="292">
        <f t="shared" si="12"/>
        <v>2438</v>
      </c>
      <c r="I47" s="292">
        <f t="shared" si="12"/>
        <v>2539.92</v>
      </c>
      <c r="J47" s="292">
        <f t="shared" si="12"/>
        <v>2641.84</v>
      </c>
      <c r="K47" s="292">
        <f t="shared" si="12"/>
        <v>2743.76</v>
      </c>
      <c r="L47" s="292">
        <f t="shared" si="12"/>
        <v>2849.7568</v>
      </c>
      <c r="M47" s="292">
        <f t="shared" si="12"/>
        <v>2955.7536</v>
      </c>
      <c r="N47" s="292">
        <f t="shared" si="12"/>
        <v>3061.7504</v>
      </c>
      <c r="O47" s="292">
        <f t="shared" si="12"/>
        <v>3171.987072</v>
      </c>
      <c r="P47" s="292">
        <f t="shared" si="12"/>
        <v>3282.223744</v>
      </c>
      <c r="Q47" s="292">
        <f t="shared" si="12"/>
        <v>3392.460416</v>
      </c>
    </row>
    <row r="48" s="1" customFormat="1" ht="13.5" customHeight="1" spans="2:34">
      <c r="B48" s="213" t="s">
        <v>270</v>
      </c>
      <c r="C48" s="297">
        <v>0</v>
      </c>
      <c r="D48" s="297">
        <v>1</v>
      </c>
      <c r="E48" s="297">
        <v>0</v>
      </c>
      <c r="F48" s="297">
        <v>23</v>
      </c>
      <c r="G48" s="297">
        <v>0</v>
      </c>
      <c r="H48" s="17"/>
      <c r="I48" s="17"/>
      <c r="J48" s="17"/>
      <c r="K48" s="17"/>
      <c r="L48" s="17"/>
      <c r="M48" s="17"/>
      <c r="N48" s="17"/>
      <c r="O48" s="17"/>
      <c r="P48" s="17"/>
      <c r="Q48" s="17"/>
    </row>
    <row r="49" ht="13.5" customHeight="1" spans="2:34">
      <c r="B49" s="213" t="s">
        <v>263</v>
      </c>
      <c r="C49" s="297">
        <v>140</v>
      </c>
      <c r="D49" s="297">
        <v>364</v>
      </c>
      <c r="E49" s="297">
        <v>121</v>
      </c>
      <c r="F49" s="297">
        <v>93</v>
      </c>
      <c r="G49" s="297">
        <v>195</v>
      </c>
      <c r="H49" s="17">
        <f>G49*1.04</f>
        <v>202.8</v>
      </c>
      <c r="I49" s="17">
        <f>H49</f>
        <v>202.8</v>
      </c>
      <c r="J49" s="17">
        <f>I49</f>
        <v>202.8</v>
      </c>
      <c r="K49" s="17">
        <f>J49*1.04</f>
        <v>210.912</v>
      </c>
      <c r="L49" s="17">
        <f>K49</f>
        <v>210.912</v>
      </c>
      <c r="M49" s="17">
        <f>L49</f>
        <v>210.912</v>
      </c>
      <c r="N49" s="17">
        <f>M49*1.04</f>
        <v>219.34848</v>
      </c>
      <c r="O49" s="17">
        <f>N49</f>
        <v>219.34848</v>
      </c>
      <c r="P49" s="17">
        <f>O49</f>
        <v>219.34848</v>
      </c>
      <c r="Q49" s="17">
        <f>P49*1.04</f>
        <v>228.1224192</v>
      </c>
      <c r="W49" s="25"/>
      <c r="X49" s="25"/>
      <c r="Y49" s="25"/>
      <c r="Z49" s="25"/>
      <c r="AA49" s="25"/>
      <c r="AB49" s="15"/>
      <c r="AD49" s="15"/>
      <c r="AE49" s="15"/>
      <c r="AF49" s="15"/>
      <c r="AG49" s="14"/>
      <c r="AH49" s="14"/>
    </row>
    <row r="50" ht="13.5" customHeight="1" spans="2:34">
      <c r="B50" s="213" t="s">
        <v>264</v>
      </c>
      <c r="C50" s="297">
        <v>6</v>
      </c>
      <c r="D50" s="297">
        <v>8</v>
      </c>
      <c r="E50" s="297">
        <v>1</v>
      </c>
      <c r="F50" s="297">
        <v>-1</v>
      </c>
      <c r="G50" s="297">
        <v>24</v>
      </c>
      <c r="H50" s="17">
        <f>G50*1.04</f>
        <v>24.96</v>
      </c>
      <c r="I50" s="17">
        <f>H50</f>
        <v>24.96</v>
      </c>
      <c r="J50" s="17">
        <f>I50</f>
        <v>24.96</v>
      </c>
      <c r="K50" s="17">
        <f>J50*1.04</f>
        <v>25.9584</v>
      </c>
      <c r="L50" s="17">
        <f>K50</f>
        <v>25.9584</v>
      </c>
      <c r="M50" s="17">
        <f>L50</f>
        <v>25.9584</v>
      </c>
      <c r="N50" s="17">
        <f>M50*1.04</f>
        <v>26.996736</v>
      </c>
      <c r="O50" s="17">
        <f>N50</f>
        <v>26.996736</v>
      </c>
      <c r="P50" s="17">
        <f>O50</f>
        <v>26.996736</v>
      </c>
      <c r="Q50" s="17">
        <f>P50*1.04</f>
        <v>28.07660544</v>
      </c>
      <c r="W50" s="25"/>
      <c r="X50" s="25"/>
      <c r="Y50" s="25"/>
      <c r="Z50" s="25"/>
      <c r="AA50" s="25"/>
      <c r="AB50" s="15"/>
      <c r="AD50" s="15"/>
      <c r="AE50" s="15"/>
      <c r="AF50" s="15"/>
      <c r="AG50" s="14"/>
      <c r="AH50" s="14"/>
    </row>
    <row r="51" ht="13.5" customHeight="1" spans="2:34">
      <c r="B51" s="213" t="s">
        <v>271</v>
      </c>
      <c r="C51" s="297">
        <v>-17</v>
      </c>
      <c r="D51" s="297">
        <v>-348</v>
      </c>
      <c r="E51" s="297">
        <v>-99</v>
      </c>
      <c r="F51" s="297">
        <v>-101</v>
      </c>
      <c r="G51" s="297">
        <v>-121</v>
      </c>
      <c r="H51" s="17">
        <f>G51*1.04</f>
        <v>-125.84</v>
      </c>
      <c r="I51" s="17">
        <f>H51</f>
        <v>-125.84</v>
      </c>
      <c r="J51" s="17">
        <f>I51</f>
        <v>-125.84</v>
      </c>
      <c r="K51" s="17">
        <f>J51*1.04</f>
        <v>-130.8736</v>
      </c>
      <c r="L51" s="17">
        <f>K51</f>
        <v>-130.8736</v>
      </c>
      <c r="M51" s="17">
        <f>L51</f>
        <v>-130.8736</v>
      </c>
      <c r="N51" s="17">
        <f>M51*1.04</f>
        <v>-136.108544</v>
      </c>
      <c r="O51" s="17">
        <f>N51</f>
        <v>-136.108544</v>
      </c>
      <c r="P51" s="17">
        <f>O51</f>
        <v>-136.108544</v>
      </c>
      <c r="Q51" s="17">
        <f>P51*1.04</f>
        <v>-141.55288576</v>
      </c>
      <c r="W51" s="25"/>
      <c r="X51" s="25"/>
      <c r="Y51" s="25"/>
      <c r="Z51" s="25"/>
      <c r="AA51" s="25"/>
      <c r="AB51" s="15"/>
      <c r="AD51" s="15"/>
      <c r="AE51" s="15"/>
      <c r="AF51" s="15"/>
      <c r="AG51" s="14"/>
      <c r="AH51" s="14"/>
    </row>
    <row r="52" s="1" customFormat="1" ht="13.5" customHeight="1" spans="2:34">
      <c r="B52" s="268" t="s">
        <v>265</v>
      </c>
      <c r="C52" s="291">
        <f t="shared" ref="C52:Q52" si="13">SUM(C47:C51)</f>
        <v>2278</v>
      </c>
      <c r="D52" s="291">
        <f t="shared" si="13"/>
        <v>2303</v>
      </c>
      <c r="E52" s="291">
        <f t="shared" si="13"/>
        <v>2326</v>
      </c>
      <c r="F52" s="291">
        <f t="shared" si="13"/>
        <v>2340</v>
      </c>
      <c r="G52" s="291">
        <f t="shared" si="13"/>
        <v>2438</v>
      </c>
      <c r="H52" s="292">
        <f t="shared" si="13"/>
        <v>2539.92</v>
      </c>
      <c r="I52" s="292">
        <f t="shared" si="13"/>
        <v>2641.84</v>
      </c>
      <c r="J52" s="292">
        <f t="shared" si="13"/>
        <v>2743.76</v>
      </c>
      <c r="K52" s="292">
        <f t="shared" si="13"/>
        <v>2849.7568</v>
      </c>
      <c r="L52" s="292">
        <f t="shared" si="13"/>
        <v>2955.7536</v>
      </c>
      <c r="M52" s="292">
        <f t="shared" si="13"/>
        <v>3061.7504</v>
      </c>
      <c r="N52" s="292">
        <f t="shared" si="13"/>
        <v>3171.987072</v>
      </c>
      <c r="O52" s="292">
        <f t="shared" si="13"/>
        <v>3282.223744</v>
      </c>
      <c r="P52" s="292">
        <f t="shared" si="13"/>
        <v>3392.460416</v>
      </c>
      <c r="Q52" s="292">
        <f t="shared" si="13"/>
        <v>3507.10655488</v>
      </c>
    </row>
    <row r="53" ht="13.5" customHeight="1" spans="2:34">
      <c r="B53" s="213" t="s">
        <v>266</v>
      </c>
      <c r="C53" s="297">
        <v>1580</v>
      </c>
      <c r="D53" s="297">
        <f t="shared" ref="D53:Q53" si="14">SUM(C53:C56)</f>
        <v>1779</v>
      </c>
      <c r="E53" s="297">
        <f t="shared" si="14"/>
        <v>1675</v>
      </c>
      <c r="F53" s="297">
        <f t="shared" si="14"/>
        <v>1837</v>
      </c>
      <c r="G53" s="297">
        <f t="shared" si="14"/>
        <v>1929</v>
      </c>
      <c r="H53" s="17">
        <f t="shared" si="14"/>
        <v>1995</v>
      </c>
      <c r="I53" s="17">
        <f t="shared" si="14"/>
        <v>2063.64</v>
      </c>
      <c r="J53" s="17">
        <f t="shared" si="14"/>
        <v>2132.28</v>
      </c>
      <c r="K53" s="17">
        <f t="shared" si="14"/>
        <v>2200.92</v>
      </c>
      <c r="L53" s="17">
        <f t="shared" si="14"/>
        <v>2272.3056</v>
      </c>
      <c r="M53" s="17">
        <f t="shared" si="14"/>
        <v>2343.6912</v>
      </c>
      <c r="N53" s="17">
        <f t="shared" si="14"/>
        <v>2415.0768</v>
      </c>
      <c r="O53" s="17">
        <f t="shared" si="14"/>
        <v>2489.317824</v>
      </c>
      <c r="P53" s="17">
        <f t="shared" si="14"/>
        <v>2563.558848</v>
      </c>
      <c r="Q53" s="17">
        <f t="shared" si="14"/>
        <v>2637.799872</v>
      </c>
      <c r="R53" s="15"/>
    </row>
    <row r="54" ht="13.5" customHeight="1" spans="2:34">
      <c r="B54" s="213" t="s">
        <v>267</v>
      </c>
      <c r="C54" s="297">
        <v>210</v>
      </c>
      <c r="D54" s="297">
        <v>236</v>
      </c>
      <c r="E54" s="297">
        <v>250</v>
      </c>
      <c r="F54" s="297">
        <v>187</v>
      </c>
      <c r="G54" s="297">
        <v>167</v>
      </c>
      <c r="H54" s="17">
        <f>G54*1.04</f>
        <v>173.68</v>
      </c>
      <c r="I54" s="17">
        <f>H54</f>
        <v>173.68</v>
      </c>
      <c r="J54" s="17">
        <f>I54</f>
        <v>173.68</v>
      </c>
      <c r="K54" s="17">
        <f>J54*1.04</f>
        <v>180.6272</v>
      </c>
      <c r="L54" s="17">
        <f>K54</f>
        <v>180.6272</v>
      </c>
      <c r="M54" s="17">
        <f>L54</f>
        <v>180.6272</v>
      </c>
      <c r="N54" s="17">
        <f>M54*1.04</f>
        <v>187.852288</v>
      </c>
      <c r="O54" s="17">
        <f>N54</f>
        <v>187.852288</v>
      </c>
      <c r="P54" s="17">
        <f>O54</f>
        <v>187.852288</v>
      </c>
      <c r="Q54" s="17">
        <f>P54*1.04</f>
        <v>195.36637952</v>
      </c>
      <c r="W54" s="25"/>
      <c r="X54" s="25"/>
      <c r="Y54" s="25"/>
      <c r="Z54" s="25"/>
      <c r="AA54" s="25"/>
      <c r="AB54" s="15"/>
      <c r="AD54" s="15"/>
      <c r="AE54" s="15"/>
      <c r="AF54" s="15"/>
      <c r="AG54" s="14"/>
      <c r="AH54" s="14"/>
    </row>
    <row r="55" ht="13.5" customHeight="1" spans="2:34">
      <c r="B55" s="213" t="s">
        <v>264</v>
      </c>
      <c r="C55" s="297">
        <v>5</v>
      </c>
      <c r="D55" s="297">
        <v>7</v>
      </c>
      <c r="E55" s="297">
        <v>1</v>
      </c>
      <c r="F55" s="297">
        <v>-1</v>
      </c>
      <c r="G55" s="297">
        <v>18</v>
      </c>
      <c r="H55" s="17">
        <f>G55*1.04</f>
        <v>18.72</v>
      </c>
      <c r="I55" s="17">
        <f>H55</f>
        <v>18.72</v>
      </c>
      <c r="J55" s="17">
        <f>I55</f>
        <v>18.72</v>
      </c>
      <c r="K55" s="17">
        <f>J55*1.04</f>
        <v>19.4688</v>
      </c>
      <c r="L55" s="17">
        <f>K55</f>
        <v>19.4688</v>
      </c>
      <c r="M55" s="17">
        <f>L55</f>
        <v>19.4688</v>
      </c>
      <c r="N55" s="17">
        <f>M55*1.04</f>
        <v>20.247552</v>
      </c>
      <c r="O55" s="17">
        <f>N55</f>
        <v>20.247552</v>
      </c>
      <c r="P55" s="17">
        <f>O55</f>
        <v>20.247552</v>
      </c>
      <c r="Q55" s="17">
        <f>P55*1.04</f>
        <v>21.05745408</v>
      </c>
      <c r="W55" s="25"/>
      <c r="X55" s="25"/>
      <c r="Y55" s="25"/>
      <c r="Z55" s="25"/>
      <c r="AA55" s="25"/>
      <c r="AB55" s="15"/>
      <c r="AD55" s="15"/>
      <c r="AE55" s="15"/>
      <c r="AF55" s="15"/>
      <c r="AG55" s="14"/>
      <c r="AH55" s="14"/>
    </row>
    <row r="56" ht="13.5" customHeight="1" spans="2:34">
      <c r="B56" s="213" t="s">
        <v>271</v>
      </c>
      <c r="C56" s="297">
        <v>-16</v>
      </c>
      <c r="D56" s="297">
        <v>-347</v>
      </c>
      <c r="E56" s="297">
        <v>-89</v>
      </c>
      <c r="F56" s="297">
        <v>-94</v>
      </c>
      <c r="G56" s="297">
        <v>-119</v>
      </c>
      <c r="H56" s="17">
        <f>G56*1.04</f>
        <v>-123.76</v>
      </c>
      <c r="I56" s="17">
        <f>H56</f>
        <v>-123.76</v>
      </c>
      <c r="J56" s="17">
        <f>I56</f>
        <v>-123.76</v>
      </c>
      <c r="K56" s="17">
        <f>J56*1.04</f>
        <v>-128.7104</v>
      </c>
      <c r="L56" s="17">
        <f>K56</f>
        <v>-128.7104</v>
      </c>
      <c r="M56" s="17">
        <f>L56</f>
        <v>-128.7104</v>
      </c>
      <c r="N56" s="17">
        <f>M56*1.04</f>
        <v>-133.858816</v>
      </c>
      <c r="O56" s="17">
        <f>N56</f>
        <v>-133.858816</v>
      </c>
      <c r="P56" s="17">
        <f>O56</f>
        <v>-133.858816</v>
      </c>
      <c r="Q56" s="17">
        <f>P56*1.04</f>
        <v>-139.21316864</v>
      </c>
      <c r="W56" s="25"/>
      <c r="X56" s="25"/>
      <c r="Y56" s="25"/>
      <c r="Z56" s="25"/>
      <c r="AA56" s="25"/>
      <c r="AB56" s="15"/>
      <c r="AD56" s="15"/>
      <c r="AE56" s="15"/>
      <c r="AF56" s="15"/>
      <c r="AG56" s="14"/>
      <c r="AH56" s="14"/>
    </row>
    <row r="57" s="1" customFormat="1" ht="14.25" customHeight="1" spans="2:34">
      <c r="B57" s="268" t="s">
        <v>268</v>
      </c>
      <c r="C57" s="333">
        <f t="shared" ref="C57:Q57" si="15">C52-SUM(C53:C56)</f>
        <v>499</v>
      </c>
      <c r="D57" s="333">
        <f t="shared" si="15"/>
        <v>628</v>
      </c>
      <c r="E57" s="333">
        <f t="shared" si="15"/>
        <v>489</v>
      </c>
      <c r="F57" s="333">
        <f t="shared" si="15"/>
        <v>411</v>
      </c>
      <c r="G57" s="333">
        <f t="shared" si="15"/>
        <v>443</v>
      </c>
      <c r="H57" s="334">
        <f t="shared" si="15"/>
        <v>476.280000000001</v>
      </c>
      <c r="I57" s="334">
        <f t="shared" si="15"/>
        <v>509.560000000001</v>
      </c>
      <c r="J57" s="334">
        <f t="shared" si="15"/>
        <v>542.840000000002</v>
      </c>
      <c r="K57" s="334">
        <f t="shared" si="15"/>
        <v>577.451200000002</v>
      </c>
      <c r="L57" s="334">
        <f t="shared" si="15"/>
        <v>612.062400000002</v>
      </c>
      <c r="M57" s="334">
        <f t="shared" si="15"/>
        <v>646.673600000001</v>
      </c>
      <c r="N57" s="334">
        <f t="shared" si="15"/>
        <v>682.669248000002</v>
      </c>
      <c r="O57" s="334">
        <f t="shared" si="15"/>
        <v>718.664896000002</v>
      </c>
      <c r="P57" s="334">
        <f t="shared" si="15"/>
        <v>754.660544000002</v>
      </c>
      <c r="Q57" s="334">
        <f t="shared" si="15"/>
        <v>792.096017920001</v>
      </c>
    </row>
    <row r="58" ht="14.25" customHeight="1" spans="2:34">
      <c r="B58" s="213"/>
      <c r="C58" s="15"/>
      <c r="D58" s="15"/>
      <c r="E58" s="15"/>
      <c r="F58" s="15"/>
      <c r="G58" s="15"/>
      <c r="H58" s="17"/>
      <c r="I58" s="17"/>
      <c r="J58" s="17"/>
      <c r="K58" s="17"/>
      <c r="L58" s="17"/>
      <c r="M58" s="17"/>
      <c r="N58" s="17"/>
      <c r="O58" s="17"/>
      <c r="P58" s="17"/>
      <c r="Q58" s="17"/>
    </row>
    <row r="59" ht="13.5" customHeight="1" spans="2:34">
      <c r="B59" s="268" t="s">
        <v>274</v>
      </c>
      <c r="C59" s="15"/>
      <c r="D59" s="15"/>
      <c r="E59" s="15"/>
      <c r="F59" s="15"/>
      <c r="G59" s="15"/>
      <c r="H59" s="17"/>
      <c r="I59" s="17"/>
      <c r="J59" s="17"/>
      <c r="K59" s="17"/>
      <c r="L59" s="17"/>
      <c r="M59" s="17"/>
      <c r="N59" s="17"/>
      <c r="O59" s="17"/>
      <c r="P59" s="17"/>
      <c r="Q59" s="17"/>
    </row>
    <row r="60" ht="13.5" customHeight="1" spans="2:34">
      <c r="B60" s="268" t="s">
        <v>262</v>
      </c>
      <c r="C60" s="331">
        <v>44</v>
      </c>
      <c r="D60" s="331">
        <f t="shared" ref="D60:Q60" si="16">C65</f>
        <v>44</v>
      </c>
      <c r="E60" s="331">
        <f t="shared" si="16"/>
        <v>45</v>
      </c>
      <c r="F60" s="331">
        <f t="shared" si="16"/>
        <v>45</v>
      </c>
      <c r="G60" s="331">
        <f t="shared" si="16"/>
        <v>48</v>
      </c>
      <c r="H60" s="292">
        <f t="shared" si="16"/>
        <v>44</v>
      </c>
      <c r="I60" s="292">
        <f t="shared" si="16"/>
        <v>39.84</v>
      </c>
      <c r="J60" s="292">
        <f t="shared" si="16"/>
        <v>35.68</v>
      </c>
      <c r="K60" s="292">
        <f t="shared" si="16"/>
        <v>31.52</v>
      </c>
      <c r="L60" s="292">
        <f t="shared" si="16"/>
        <v>27.1936</v>
      </c>
      <c r="M60" s="292">
        <f t="shared" si="16"/>
        <v>22.8672</v>
      </c>
      <c r="N60" s="292">
        <f t="shared" si="16"/>
        <v>18.5408</v>
      </c>
      <c r="O60" s="292">
        <f t="shared" si="16"/>
        <v>14.041344</v>
      </c>
      <c r="P60" s="292">
        <f t="shared" si="16"/>
        <v>9.54188799999999</v>
      </c>
      <c r="Q60" s="292">
        <f t="shared" si="16"/>
        <v>5.04243199999999</v>
      </c>
    </row>
    <row r="61" ht="13.5" customHeight="1" spans="2:34">
      <c r="B61" s="213" t="s">
        <v>270</v>
      </c>
      <c r="C61" s="297">
        <v>0</v>
      </c>
      <c r="D61" s="297">
        <v>0</v>
      </c>
      <c r="E61" s="297">
        <v>0</v>
      </c>
      <c r="F61" s="297">
        <v>2</v>
      </c>
      <c r="G61" s="297">
        <v>0</v>
      </c>
      <c r="H61" s="17"/>
      <c r="I61" s="17"/>
      <c r="J61" s="17"/>
      <c r="K61" s="17"/>
      <c r="L61" s="17"/>
      <c r="M61" s="17"/>
      <c r="N61" s="17"/>
      <c r="O61" s="17"/>
      <c r="P61" s="17"/>
      <c r="Q61" s="17"/>
    </row>
    <row r="62" ht="13.5" customHeight="1" spans="2:34">
      <c r="B62" s="213" t="s">
        <v>263</v>
      </c>
      <c r="C62" s="297">
        <v>0</v>
      </c>
      <c r="D62" s="297">
        <v>2</v>
      </c>
      <c r="E62" s="297">
        <v>1</v>
      </c>
      <c r="F62" s="297">
        <v>2</v>
      </c>
      <c r="G62" s="297">
        <v>1</v>
      </c>
      <c r="H62" s="17">
        <f>G62*1.04</f>
        <v>1.04</v>
      </c>
      <c r="I62" s="17">
        <f>H62</f>
        <v>1.04</v>
      </c>
      <c r="J62" s="17">
        <f>I62</f>
        <v>1.04</v>
      </c>
      <c r="K62" s="17">
        <f>J62*1.04</f>
        <v>1.0816</v>
      </c>
      <c r="L62" s="17">
        <f>K62</f>
        <v>1.0816</v>
      </c>
      <c r="M62" s="17">
        <f>L62</f>
        <v>1.0816</v>
      </c>
      <c r="N62" s="17">
        <f>M62*1.04</f>
        <v>1.124864</v>
      </c>
      <c r="O62" s="17">
        <f>N62</f>
        <v>1.124864</v>
      </c>
      <c r="P62" s="17">
        <f>O62</f>
        <v>1.124864</v>
      </c>
      <c r="Q62" s="17">
        <f>P62*1.04</f>
        <v>1.16985856</v>
      </c>
    </row>
    <row r="63" ht="13.5" customHeight="1" spans="2:34">
      <c r="B63" s="213" t="s">
        <v>264</v>
      </c>
      <c r="C63" s="297">
        <v>0</v>
      </c>
      <c r="D63" s="297">
        <v>0</v>
      </c>
      <c r="E63" s="297">
        <v>0</v>
      </c>
      <c r="F63" s="297">
        <v>0</v>
      </c>
      <c r="G63" s="297">
        <v>0</v>
      </c>
      <c r="H63" s="17">
        <f>G63*1.04</f>
        <v>0</v>
      </c>
      <c r="I63" s="17">
        <f>H63</f>
        <v>0</v>
      </c>
      <c r="J63" s="17">
        <f>I63</f>
        <v>0</v>
      </c>
      <c r="K63" s="17">
        <f>J63*1.04</f>
        <v>0</v>
      </c>
      <c r="L63" s="17">
        <f>K63</f>
        <v>0</v>
      </c>
      <c r="M63" s="17">
        <f>L63</f>
        <v>0</v>
      </c>
      <c r="N63" s="17">
        <f>M63*1.04</f>
        <v>0</v>
      </c>
      <c r="O63" s="17">
        <f>N63</f>
        <v>0</v>
      </c>
      <c r="P63" s="17">
        <f>O63</f>
        <v>0</v>
      </c>
      <c r="Q63" s="17">
        <f>P63*1.04</f>
        <v>0</v>
      </c>
    </row>
    <row r="64" ht="13.5" customHeight="1" spans="2:34">
      <c r="B64" s="213" t="s">
        <v>271</v>
      </c>
      <c r="C64" s="297">
        <v>0</v>
      </c>
      <c r="D64" s="297">
        <v>-1</v>
      </c>
      <c r="E64" s="297">
        <v>-1</v>
      </c>
      <c r="F64" s="297">
        <v>-1</v>
      </c>
      <c r="G64" s="297">
        <v>-5</v>
      </c>
      <c r="H64" s="17">
        <f>G64*1.04</f>
        <v>-5.2</v>
      </c>
      <c r="I64" s="17">
        <f>H64</f>
        <v>-5.2</v>
      </c>
      <c r="J64" s="17">
        <f>I64</f>
        <v>-5.2</v>
      </c>
      <c r="K64" s="17">
        <f>J64*1.04</f>
        <v>-5.408</v>
      </c>
      <c r="L64" s="17">
        <f>K64</f>
        <v>-5.408</v>
      </c>
      <c r="M64" s="17">
        <f>L64</f>
        <v>-5.408</v>
      </c>
      <c r="N64" s="17">
        <f>M64*1.04</f>
        <v>-5.62432</v>
      </c>
      <c r="O64" s="17">
        <f>N64</f>
        <v>-5.62432</v>
      </c>
      <c r="P64" s="17">
        <f>O64</f>
        <v>-5.62432</v>
      </c>
      <c r="Q64" s="17">
        <f>P64*1.04</f>
        <v>-5.8492928</v>
      </c>
    </row>
    <row r="65" s="1" customFormat="1" ht="13.5" customHeight="1" spans="2:34">
      <c r="B65" s="268" t="s">
        <v>265</v>
      </c>
      <c r="C65" s="291">
        <f t="shared" ref="C65:Q65" si="17">SUM(C60:C64)</f>
        <v>44</v>
      </c>
      <c r="D65" s="291">
        <f t="shared" si="17"/>
        <v>45</v>
      </c>
      <c r="E65" s="291">
        <f t="shared" si="17"/>
        <v>45</v>
      </c>
      <c r="F65" s="291">
        <f t="shared" si="17"/>
        <v>48</v>
      </c>
      <c r="G65" s="291">
        <f t="shared" si="17"/>
        <v>44</v>
      </c>
      <c r="H65" s="292">
        <f t="shared" si="17"/>
        <v>39.84</v>
      </c>
      <c r="I65" s="292">
        <f t="shared" si="17"/>
        <v>35.68</v>
      </c>
      <c r="J65" s="292">
        <f t="shared" si="17"/>
        <v>31.52</v>
      </c>
      <c r="K65" s="292">
        <f t="shared" si="17"/>
        <v>27.1936</v>
      </c>
      <c r="L65" s="292">
        <f t="shared" si="17"/>
        <v>22.8672</v>
      </c>
      <c r="M65" s="292">
        <f t="shared" si="17"/>
        <v>18.5408</v>
      </c>
      <c r="N65" s="292">
        <f t="shared" si="17"/>
        <v>14.041344</v>
      </c>
      <c r="O65" s="292">
        <f t="shared" si="17"/>
        <v>9.54188799999999</v>
      </c>
      <c r="P65" s="292">
        <f t="shared" si="17"/>
        <v>5.04243199999999</v>
      </c>
      <c r="Q65" s="292">
        <f t="shared" si="17"/>
        <v>0.362997759999986</v>
      </c>
    </row>
    <row r="66" ht="13.5" customHeight="1" spans="2:34">
      <c r="B66" s="213" t="s">
        <v>266</v>
      </c>
      <c r="C66" s="297">
        <v>32</v>
      </c>
      <c r="D66" s="297">
        <f t="shared" ref="D66:Q66" si="18">SUM(C66:C69)</f>
        <v>37</v>
      </c>
      <c r="E66" s="297">
        <f t="shared" si="18"/>
        <v>40</v>
      </c>
      <c r="F66" s="297">
        <f t="shared" si="18"/>
        <v>42</v>
      </c>
      <c r="G66" s="297">
        <f t="shared" si="18"/>
        <v>43</v>
      </c>
      <c r="H66" s="17">
        <f t="shared" si="18"/>
        <v>39</v>
      </c>
      <c r="I66" s="17">
        <f t="shared" si="18"/>
        <v>34.84</v>
      </c>
      <c r="J66" s="17">
        <f t="shared" si="18"/>
        <v>30.68</v>
      </c>
      <c r="K66" s="17">
        <f t="shared" si="18"/>
        <v>26.52</v>
      </c>
      <c r="L66" s="17">
        <f t="shared" si="18"/>
        <v>22.1936</v>
      </c>
      <c r="M66" s="17">
        <f t="shared" si="18"/>
        <v>17.8672</v>
      </c>
      <c r="N66" s="17">
        <f t="shared" si="18"/>
        <v>13.5408</v>
      </c>
      <c r="O66" s="17">
        <f t="shared" si="18"/>
        <v>9.041344</v>
      </c>
      <c r="P66" s="17">
        <f t="shared" si="18"/>
        <v>4.541888</v>
      </c>
      <c r="Q66" s="17">
        <f t="shared" si="18"/>
        <v>0.0424319999999963</v>
      </c>
    </row>
    <row r="67" ht="13.5" customHeight="1" spans="2:34">
      <c r="B67" s="213" t="s">
        <v>267</v>
      </c>
      <c r="C67" s="297">
        <v>5</v>
      </c>
      <c r="D67" s="297">
        <v>4</v>
      </c>
      <c r="E67" s="297">
        <v>3</v>
      </c>
      <c r="F67" s="297">
        <v>2</v>
      </c>
      <c r="G67" s="297">
        <v>1</v>
      </c>
      <c r="H67" s="17">
        <f>G67*1.04</f>
        <v>1.04</v>
      </c>
      <c r="I67" s="17">
        <f>H67</f>
        <v>1.04</v>
      </c>
      <c r="J67" s="17">
        <f>I67</f>
        <v>1.04</v>
      </c>
      <c r="K67" s="17">
        <f>J67*1.04</f>
        <v>1.0816</v>
      </c>
      <c r="L67" s="17">
        <f>K67</f>
        <v>1.0816</v>
      </c>
      <c r="M67" s="17">
        <f>L67</f>
        <v>1.0816</v>
      </c>
      <c r="N67" s="17">
        <f>M67*1.04</f>
        <v>1.124864</v>
      </c>
      <c r="O67" s="17">
        <f>N67</f>
        <v>1.124864</v>
      </c>
      <c r="P67" s="17">
        <f>O67</f>
        <v>1.124864</v>
      </c>
      <c r="Q67" s="17">
        <f>P67*1.04</f>
        <v>1.16985856</v>
      </c>
    </row>
    <row r="68" ht="13.5" customHeight="1" spans="2:34">
      <c r="B68" s="213" t="s">
        <v>264</v>
      </c>
      <c r="C68" s="297">
        <v>0</v>
      </c>
      <c r="D68" s="297">
        <v>0</v>
      </c>
      <c r="E68" s="297">
        <v>0</v>
      </c>
      <c r="F68" s="297">
        <v>0</v>
      </c>
      <c r="G68" s="297">
        <v>0</v>
      </c>
      <c r="H68" s="17">
        <f>G68*1.04</f>
        <v>0</v>
      </c>
      <c r="I68" s="17">
        <f>H68</f>
        <v>0</v>
      </c>
      <c r="J68" s="17">
        <f>I68</f>
        <v>0</v>
      </c>
      <c r="K68" s="17">
        <f>J68*1.04</f>
        <v>0</v>
      </c>
      <c r="L68" s="17">
        <f>K68</f>
        <v>0</v>
      </c>
      <c r="M68" s="17">
        <f>L68</f>
        <v>0</v>
      </c>
      <c r="N68" s="17">
        <f>M68*1.04</f>
        <v>0</v>
      </c>
      <c r="O68" s="17">
        <f>N68</f>
        <v>0</v>
      </c>
      <c r="P68" s="17">
        <f>O68</f>
        <v>0</v>
      </c>
      <c r="Q68" s="17">
        <f>P68*1.04</f>
        <v>0</v>
      </c>
      <c r="R68" s="15"/>
      <c r="S68" s="15"/>
      <c r="T68" s="15"/>
    </row>
    <row r="69" ht="13.5" customHeight="1" spans="2:34">
      <c r="B69" s="213" t="s">
        <v>271</v>
      </c>
      <c r="C69" s="297">
        <v>0</v>
      </c>
      <c r="D69" s="297">
        <v>-1</v>
      </c>
      <c r="E69" s="297">
        <v>-1</v>
      </c>
      <c r="F69" s="297">
        <v>-1</v>
      </c>
      <c r="G69" s="297">
        <v>-5</v>
      </c>
      <c r="H69" s="17">
        <f>G69*1.04</f>
        <v>-5.2</v>
      </c>
      <c r="I69" s="17">
        <f>H69</f>
        <v>-5.2</v>
      </c>
      <c r="J69" s="17">
        <f>I69</f>
        <v>-5.2</v>
      </c>
      <c r="K69" s="17">
        <f>J69*1.04</f>
        <v>-5.408</v>
      </c>
      <c r="L69" s="17">
        <f>K69</f>
        <v>-5.408</v>
      </c>
      <c r="M69" s="17">
        <f>L69</f>
        <v>-5.408</v>
      </c>
      <c r="N69" s="17">
        <f>M69*1.04</f>
        <v>-5.62432</v>
      </c>
      <c r="O69" s="17">
        <f>N69</f>
        <v>-5.62432</v>
      </c>
      <c r="P69" s="17">
        <f>O69</f>
        <v>-5.62432</v>
      </c>
      <c r="Q69" s="17">
        <f>P69*1.04</f>
        <v>-5.8492928</v>
      </c>
    </row>
    <row r="70" ht="14.25" customHeight="1" spans="2:34">
      <c r="B70" s="268" t="s">
        <v>268</v>
      </c>
      <c r="C70" s="332">
        <f t="shared" ref="C70:Q70" si="19">C65-SUM(C66:C69)</f>
        <v>7</v>
      </c>
      <c r="D70" s="333">
        <f t="shared" si="19"/>
        <v>5</v>
      </c>
      <c r="E70" s="333">
        <f t="shared" si="19"/>
        <v>3</v>
      </c>
      <c r="F70" s="333">
        <f t="shared" si="19"/>
        <v>5</v>
      </c>
      <c r="G70" s="333">
        <f t="shared" si="19"/>
        <v>5</v>
      </c>
      <c r="H70" s="334">
        <f t="shared" si="19"/>
        <v>5</v>
      </c>
      <c r="I70" s="334">
        <f t="shared" si="19"/>
        <v>5</v>
      </c>
      <c r="J70" s="334">
        <f t="shared" si="19"/>
        <v>5</v>
      </c>
      <c r="K70" s="334">
        <f t="shared" si="19"/>
        <v>4.99999999999999</v>
      </c>
      <c r="L70" s="334">
        <f t="shared" si="19"/>
        <v>4.99999999999999</v>
      </c>
      <c r="M70" s="334">
        <f t="shared" si="19"/>
        <v>4.99999999999999</v>
      </c>
      <c r="N70" s="334">
        <f t="shared" si="19"/>
        <v>4.99999999999999</v>
      </c>
      <c r="O70" s="334">
        <f t="shared" si="19"/>
        <v>4.99999999999999</v>
      </c>
      <c r="P70" s="334">
        <f t="shared" si="19"/>
        <v>4.99999999999999</v>
      </c>
      <c r="Q70" s="334">
        <f t="shared" si="19"/>
        <v>4.99999999999999</v>
      </c>
    </row>
    <row r="71" ht="14.25" customHeight="1" spans="2:34">
      <c r="B71" s="268"/>
      <c r="C71" s="15"/>
      <c r="D71" s="15"/>
      <c r="E71" s="15"/>
      <c r="F71" s="15"/>
      <c r="G71" s="15"/>
      <c r="H71" s="17"/>
      <c r="I71" s="17"/>
      <c r="J71" s="17"/>
      <c r="K71" s="17"/>
      <c r="L71" s="17"/>
      <c r="M71" s="17"/>
      <c r="N71" s="17"/>
      <c r="O71" s="17"/>
      <c r="P71" s="17"/>
      <c r="Q71" s="17"/>
    </row>
    <row r="72" ht="13.5" customHeight="1" spans="2:34">
      <c r="B72" s="268" t="s">
        <v>275</v>
      </c>
      <c r="C72" s="15"/>
      <c r="D72" s="15"/>
      <c r="E72" s="15"/>
      <c r="F72" s="15"/>
      <c r="G72" s="15"/>
      <c r="H72" s="17"/>
      <c r="I72" s="17"/>
      <c r="J72" s="17"/>
      <c r="K72" s="17"/>
      <c r="L72" s="17"/>
      <c r="M72" s="17"/>
      <c r="N72" s="17"/>
      <c r="O72" s="17"/>
      <c r="P72" s="17"/>
      <c r="Q72" s="17"/>
    </row>
    <row r="73" s="1" customFormat="1" ht="13.5" customHeight="1" spans="2:34">
      <c r="B73" s="268" t="s">
        <v>262</v>
      </c>
      <c r="C73" s="331">
        <v>1371</v>
      </c>
      <c r="D73" s="331">
        <f>SUM(C77)</f>
        <v>1427</v>
      </c>
      <c r="E73" s="331">
        <f>SUM(D77)</f>
        <v>1482</v>
      </c>
      <c r="F73" s="331">
        <f>SUM(E77)</f>
        <v>1528</v>
      </c>
      <c r="G73" s="331">
        <f>SUM(F77)</f>
        <v>1628</v>
      </c>
      <c r="H73" s="292">
        <f t="shared" ref="H73:Q73" si="20">G77</f>
        <v>1732</v>
      </c>
      <c r="I73" s="292">
        <f t="shared" si="20"/>
        <v>1840.16</v>
      </c>
      <c r="J73" s="292">
        <f t="shared" si="20"/>
        <v>1948.32</v>
      </c>
      <c r="K73" s="292">
        <f t="shared" si="20"/>
        <v>2056.48</v>
      </c>
      <c r="L73" s="292">
        <f t="shared" si="20"/>
        <v>2168.9664</v>
      </c>
      <c r="M73" s="292">
        <f t="shared" si="20"/>
        <v>2281.4528</v>
      </c>
      <c r="N73" s="292">
        <f t="shared" si="20"/>
        <v>2393.9392</v>
      </c>
      <c r="O73" s="292">
        <f t="shared" si="20"/>
        <v>2510.925056</v>
      </c>
      <c r="P73" s="292">
        <f t="shared" si="20"/>
        <v>2627.910912</v>
      </c>
      <c r="Q73" s="292">
        <f t="shared" si="20"/>
        <v>2744.896768</v>
      </c>
    </row>
    <row r="74" s="1" customFormat="1" ht="13.5" customHeight="1" spans="2:34">
      <c r="B74" s="213" t="s">
        <v>263</v>
      </c>
      <c r="C74" s="297">
        <v>68</v>
      </c>
      <c r="D74" s="297">
        <v>127</v>
      </c>
      <c r="E74" s="297">
        <v>106</v>
      </c>
      <c r="F74" s="297">
        <v>150</v>
      </c>
      <c r="G74" s="297">
        <v>137</v>
      </c>
      <c r="H74" s="17">
        <f>G74*1.04</f>
        <v>142.48</v>
      </c>
      <c r="I74" s="17">
        <f>H74</f>
        <v>142.48</v>
      </c>
      <c r="J74" s="17">
        <f>I74</f>
        <v>142.48</v>
      </c>
      <c r="K74" s="17">
        <f>J74*1.04</f>
        <v>148.1792</v>
      </c>
      <c r="L74" s="17">
        <f>K74</f>
        <v>148.1792</v>
      </c>
      <c r="M74" s="17">
        <f>L74</f>
        <v>148.1792</v>
      </c>
      <c r="N74" s="17">
        <f>M74*1.04</f>
        <v>154.106368</v>
      </c>
      <c r="O74" s="17">
        <f>N74</f>
        <v>154.106368</v>
      </c>
      <c r="P74" s="17">
        <f>O74</f>
        <v>154.106368</v>
      </c>
      <c r="Q74" s="17">
        <f>P74*1.04</f>
        <v>160.27062272</v>
      </c>
    </row>
    <row r="75" s="1" customFormat="1" ht="13.5" customHeight="1" spans="2:34">
      <c r="B75" s="213" t="s">
        <v>264</v>
      </c>
      <c r="C75" s="297">
        <v>3</v>
      </c>
      <c r="D75" s="297">
        <v>4</v>
      </c>
      <c r="E75" s="297">
        <v>0</v>
      </c>
      <c r="F75" s="297">
        <v>2</v>
      </c>
      <c r="G75" s="297">
        <v>17</v>
      </c>
      <c r="H75" s="17">
        <f>G75*1.04</f>
        <v>17.68</v>
      </c>
      <c r="I75" s="17">
        <f>H75</f>
        <v>17.68</v>
      </c>
      <c r="J75" s="17">
        <f>I75</f>
        <v>17.68</v>
      </c>
      <c r="K75" s="17">
        <f>J75*1.04</f>
        <v>18.3872</v>
      </c>
      <c r="L75" s="17">
        <f>K75</f>
        <v>18.3872</v>
      </c>
      <c r="M75" s="17">
        <f>L75</f>
        <v>18.3872</v>
      </c>
      <c r="N75" s="17">
        <f>M75*1.04</f>
        <v>19.122688</v>
      </c>
      <c r="O75" s="17">
        <f>N75</f>
        <v>19.122688</v>
      </c>
      <c r="P75" s="17">
        <f>O75</f>
        <v>19.122688</v>
      </c>
      <c r="Q75" s="17">
        <f>P75*1.04</f>
        <v>19.88759552</v>
      </c>
    </row>
    <row r="76" s="1" customFormat="1" ht="13.5" customHeight="1" spans="2:34">
      <c r="B76" s="213" t="s">
        <v>271</v>
      </c>
      <c r="C76" s="297">
        <v>-15</v>
      </c>
      <c r="D76" s="297">
        <v>-76</v>
      </c>
      <c r="E76" s="297">
        <v>-60</v>
      </c>
      <c r="F76" s="297">
        <v>-52</v>
      </c>
      <c r="G76" s="297">
        <v>-50</v>
      </c>
      <c r="H76" s="17">
        <f>G76*1.04</f>
        <v>-52</v>
      </c>
      <c r="I76" s="17">
        <f>H76</f>
        <v>-52</v>
      </c>
      <c r="J76" s="17">
        <f>I76</f>
        <v>-52</v>
      </c>
      <c r="K76" s="17">
        <f>J76*1.04</f>
        <v>-54.08</v>
      </c>
      <c r="L76" s="17">
        <f>K76</f>
        <v>-54.08</v>
      </c>
      <c r="M76" s="17">
        <f>L76</f>
        <v>-54.08</v>
      </c>
      <c r="N76" s="17">
        <f>M76*1.04</f>
        <v>-56.2432</v>
      </c>
      <c r="O76" s="17">
        <f>N76</f>
        <v>-56.2432</v>
      </c>
      <c r="P76" s="17">
        <f>O76</f>
        <v>-56.2432</v>
      </c>
      <c r="Q76" s="17">
        <f>P76*1.04</f>
        <v>-58.492928</v>
      </c>
    </row>
    <row r="77" s="1" customFormat="1" ht="13.5" customHeight="1" spans="2:34">
      <c r="B77" s="268" t="s">
        <v>265</v>
      </c>
      <c r="C77" s="291">
        <f t="shared" ref="C77:Q77" si="21">SUM(C73:C76)</f>
        <v>1427</v>
      </c>
      <c r="D77" s="291">
        <f t="shared" si="21"/>
        <v>1482</v>
      </c>
      <c r="E77" s="291">
        <f t="shared" si="21"/>
        <v>1528</v>
      </c>
      <c r="F77" s="291">
        <f t="shared" si="21"/>
        <v>1628</v>
      </c>
      <c r="G77" s="291">
        <f t="shared" si="21"/>
        <v>1732</v>
      </c>
      <c r="H77" s="292">
        <f t="shared" si="21"/>
        <v>1840.16</v>
      </c>
      <c r="I77" s="292">
        <f t="shared" si="21"/>
        <v>1948.32</v>
      </c>
      <c r="J77" s="292">
        <f t="shared" si="21"/>
        <v>2056.48</v>
      </c>
      <c r="K77" s="292">
        <f t="shared" si="21"/>
        <v>2168.9664</v>
      </c>
      <c r="L77" s="292">
        <f t="shared" si="21"/>
        <v>2281.4528</v>
      </c>
      <c r="M77" s="292">
        <f t="shared" si="21"/>
        <v>2393.9392</v>
      </c>
      <c r="N77" s="292">
        <f t="shared" si="21"/>
        <v>2510.925056</v>
      </c>
      <c r="O77" s="292">
        <f t="shared" si="21"/>
        <v>2627.910912</v>
      </c>
      <c r="P77" s="292">
        <f t="shared" si="21"/>
        <v>2744.896768</v>
      </c>
      <c r="Q77" s="292">
        <f t="shared" si="21"/>
        <v>2866.56205824</v>
      </c>
      <c r="W77" s="335"/>
      <c r="X77" s="335"/>
      <c r="Y77" s="335"/>
      <c r="Z77" s="335"/>
      <c r="AA77" s="335"/>
      <c r="AB77" s="291"/>
      <c r="AD77" s="291"/>
      <c r="AE77" s="291"/>
      <c r="AF77" s="291"/>
      <c r="AG77" s="57"/>
      <c r="AH77" s="57"/>
    </row>
    <row r="78" ht="13.5" customHeight="1" spans="2:34">
      <c r="B78" s="213" t="s">
        <v>266</v>
      </c>
      <c r="C78" s="297">
        <v>1043</v>
      </c>
      <c r="D78" s="297">
        <f t="shared" ref="D78:Q78" si="22">SUM(C78:C81)</f>
        <v>1150</v>
      </c>
      <c r="E78" s="297">
        <f t="shared" si="22"/>
        <v>1198</v>
      </c>
      <c r="F78" s="297">
        <f t="shared" si="22"/>
        <v>1269</v>
      </c>
      <c r="G78" s="297">
        <f t="shared" si="22"/>
        <v>1337</v>
      </c>
      <c r="H78" s="17">
        <f t="shared" si="22"/>
        <v>1417</v>
      </c>
      <c r="I78" s="17">
        <f t="shared" si="22"/>
        <v>1500.2</v>
      </c>
      <c r="J78" s="17">
        <f t="shared" si="22"/>
        <v>1583.4</v>
      </c>
      <c r="K78" s="17">
        <f t="shared" si="22"/>
        <v>1666.6</v>
      </c>
      <c r="L78" s="17">
        <f t="shared" si="22"/>
        <v>1753.128</v>
      </c>
      <c r="M78" s="17">
        <f t="shared" si="22"/>
        <v>1839.656</v>
      </c>
      <c r="N78" s="17">
        <f t="shared" si="22"/>
        <v>1926.184</v>
      </c>
      <c r="O78" s="17">
        <f t="shared" si="22"/>
        <v>2016.17312</v>
      </c>
      <c r="P78" s="17">
        <f t="shared" si="22"/>
        <v>2106.16224</v>
      </c>
      <c r="Q78" s="17">
        <f t="shared" si="22"/>
        <v>2196.15136</v>
      </c>
      <c r="W78" s="25"/>
      <c r="X78" s="25"/>
      <c r="Y78" s="25"/>
      <c r="Z78" s="25"/>
      <c r="AA78" s="25"/>
      <c r="AB78" s="15"/>
      <c r="AD78" s="15"/>
      <c r="AE78" s="15"/>
      <c r="AF78" s="15"/>
      <c r="AG78" s="14"/>
      <c r="AH78" s="14"/>
    </row>
    <row r="79" ht="13.5" customHeight="1" spans="2:34">
      <c r="B79" s="213" t="s">
        <v>267</v>
      </c>
      <c r="C79" s="297">
        <v>120</v>
      </c>
      <c r="D79" s="297">
        <v>121</v>
      </c>
      <c r="E79" s="297">
        <v>130</v>
      </c>
      <c r="F79" s="297">
        <v>118</v>
      </c>
      <c r="G79" s="297">
        <v>118</v>
      </c>
      <c r="H79" s="17">
        <f>G79*1.04</f>
        <v>122.72</v>
      </c>
      <c r="I79" s="17">
        <f>H79</f>
        <v>122.72</v>
      </c>
      <c r="J79" s="17">
        <f>I79</f>
        <v>122.72</v>
      </c>
      <c r="K79" s="17">
        <f>J79*1.04</f>
        <v>127.6288</v>
      </c>
      <c r="L79" s="17">
        <f>K79</f>
        <v>127.6288</v>
      </c>
      <c r="M79" s="17">
        <f>L79</f>
        <v>127.6288</v>
      </c>
      <c r="N79" s="17">
        <f>M79*1.04</f>
        <v>132.733952</v>
      </c>
      <c r="O79" s="17">
        <f>N79</f>
        <v>132.733952</v>
      </c>
      <c r="P79" s="17">
        <f>O79</f>
        <v>132.733952</v>
      </c>
      <c r="Q79" s="17">
        <f>P79*1.04</f>
        <v>138.04331008</v>
      </c>
      <c r="W79" s="25"/>
      <c r="X79" s="25"/>
      <c r="Y79" s="25"/>
      <c r="Z79" s="25"/>
      <c r="AA79" s="25"/>
      <c r="AB79" s="15"/>
      <c r="AD79" s="15"/>
      <c r="AE79" s="15"/>
      <c r="AF79" s="15"/>
      <c r="AG79" s="14"/>
      <c r="AH79" s="14"/>
    </row>
    <row r="80" s="1" customFormat="1" ht="13.5" customHeight="1" spans="2:34">
      <c r="B80" s="213" t="s">
        <v>264</v>
      </c>
      <c r="C80" s="297">
        <v>1</v>
      </c>
      <c r="D80" s="297">
        <v>3</v>
      </c>
      <c r="E80" s="297">
        <v>0</v>
      </c>
      <c r="F80" s="297">
        <v>1</v>
      </c>
      <c r="G80" s="297">
        <v>12</v>
      </c>
      <c r="H80" s="17">
        <f>G80*1.04</f>
        <v>12.48</v>
      </c>
      <c r="I80" s="17">
        <f>H80</f>
        <v>12.48</v>
      </c>
      <c r="J80" s="17">
        <f>I80</f>
        <v>12.48</v>
      </c>
      <c r="K80" s="17">
        <f>J80*1.04</f>
        <v>12.9792</v>
      </c>
      <c r="L80" s="17">
        <f>K80</f>
        <v>12.9792</v>
      </c>
      <c r="M80" s="17">
        <f>L80</f>
        <v>12.9792</v>
      </c>
      <c r="N80" s="17">
        <f>M80*1.04</f>
        <v>13.498368</v>
      </c>
      <c r="O80" s="17">
        <f>N80</f>
        <v>13.498368</v>
      </c>
      <c r="P80" s="17">
        <f>O80</f>
        <v>13.498368</v>
      </c>
      <c r="Q80" s="17">
        <f>P80*1.04</f>
        <v>14.03830272</v>
      </c>
    </row>
    <row r="81" s="1" customFormat="1" ht="13.5" customHeight="1" spans="2:23">
      <c r="B81" s="213" t="s">
        <v>271</v>
      </c>
      <c r="C81" s="297">
        <v>-14</v>
      </c>
      <c r="D81" s="297">
        <v>-76</v>
      </c>
      <c r="E81" s="297">
        <v>-59</v>
      </c>
      <c r="F81" s="297">
        <v>-51</v>
      </c>
      <c r="G81" s="297">
        <v>-50</v>
      </c>
      <c r="H81" s="17">
        <f>G81*1.04</f>
        <v>-52</v>
      </c>
      <c r="I81" s="17">
        <f>H81</f>
        <v>-52</v>
      </c>
      <c r="J81" s="17">
        <f>I81</f>
        <v>-52</v>
      </c>
      <c r="K81" s="17">
        <f>J81*1.04</f>
        <v>-54.08</v>
      </c>
      <c r="L81" s="17">
        <f>K81</f>
        <v>-54.08</v>
      </c>
      <c r="M81" s="17">
        <f>L81</f>
        <v>-54.08</v>
      </c>
      <c r="N81" s="17">
        <f>M81*1.04</f>
        <v>-56.2432</v>
      </c>
      <c r="O81" s="17">
        <f>N81</f>
        <v>-56.2432</v>
      </c>
      <c r="P81" s="17">
        <f>O81</f>
        <v>-56.2432</v>
      </c>
      <c r="Q81" s="17">
        <f>P81*1.04</f>
        <v>-58.492928</v>
      </c>
      <c r="R81" s="291"/>
      <c r="S81" s="291"/>
      <c r="T81" s="291"/>
      <c r="U81" s="291"/>
      <c r="V81" s="291"/>
      <c r="W81" s="291"/>
    </row>
    <row r="82" s="1" customFormat="1" ht="14.25" customHeight="1" spans="2:23">
      <c r="B82" s="268" t="s">
        <v>268</v>
      </c>
      <c r="C82" s="333">
        <f t="shared" ref="C82:Q82" si="23">C77-SUM(C78:C81)</f>
        <v>277</v>
      </c>
      <c r="D82" s="333">
        <f t="shared" si="23"/>
        <v>284</v>
      </c>
      <c r="E82" s="333">
        <f t="shared" si="23"/>
        <v>259</v>
      </c>
      <c r="F82" s="333">
        <f t="shared" si="23"/>
        <v>291</v>
      </c>
      <c r="G82" s="333">
        <f t="shared" si="23"/>
        <v>315</v>
      </c>
      <c r="H82" s="334">
        <f t="shared" si="23"/>
        <v>339.96</v>
      </c>
      <c r="I82" s="334">
        <f t="shared" si="23"/>
        <v>364.92</v>
      </c>
      <c r="J82" s="334">
        <f t="shared" si="23"/>
        <v>389.88</v>
      </c>
      <c r="K82" s="334">
        <f t="shared" si="23"/>
        <v>415.8384</v>
      </c>
      <c r="L82" s="334">
        <f t="shared" si="23"/>
        <v>441.7968</v>
      </c>
      <c r="M82" s="334">
        <f t="shared" si="23"/>
        <v>467.755200000001</v>
      </c>
      <c r="N82" s="334">
        <f t="shared" si="23"/>
        <v>494.751936000001</v>
      </c>
      <c r="O82" s="334">
        <f t="shared" si="23"/>
        <v>521.748672000001</v>
      </c>
      <c r="P82" s="334">
        <f t="shared" si="23"/>
        <v>548.745408000001</v>
      </c>
      <c r="Q82" s="334">
        <f t="shared" si="23"/>
        <v>576.822013440001</v>
      </c>
    </row>
    <row r="83" ht="14.25" customHeight="1" spans="2:23">
      <c r="B83" s="213"/>
      <c r="C83" s="15"/>
      <c r="D83" s="15"/>
      <c r="E83" s="15"/>
      <c r="F83" s="15"/>
      <c r="G83" s="15"/>
      <c r="H83" s="17"/>
      <c r="I83" s="17"/>
      <c r="J83" s="17"/>
      <c r="K83" s="17"/>
      <c r="L83" s="17"/>
      <c r="M83" s="17"/>
      <c r="N83" s="17"/>
      <c r="O83" s="17"/>
      <c r="P83" s="17"/>
      <c r="Q83" s="17"/>
    </row>
    <row r="84" ht="13.5" customHeight="1" spans="2:23">
      <c r="B84" s="268" t="s">
        <v>276</v>
      </c>
      <c r="C84" s="15"/>
      <c r="D84" s="15"/>
      <c r="E84" s="15"/>
      <c r="F84" s="15"/>
      <c r="G84" s="15"/>
      <c r="H84" s="17"/>
      <c r="I84" s="17"/>
      <c r="J84" s="17"/>
      <c r="K84" s="17"/>
      <c r="L84" s="17"/>
      <c r="M84" s="17"/>
      <c r="N84" s="17"/>
      <c r="O84" s="17"/>
      <c r="P84" s="17"/>
      <c r="Q84" s="17"/>
    </row>
    <row r="85" s="1" customFormat="1" ht="13.5" customHeight="1" spans="2:23">
      <c r="B85" s="268" t="s">
        <v>262</v>
      </c>
      <c r="C85" s="331">
        <v>1399</v>
      </c>
      <c r="D85" s="331">
        <f t="shared" ref="D85:Q85" si="24">C86</f>
        <v>1431</v>
      </c>
      <c r="E85" s="331">
        <f t="shared" si="24"/>
        <v>1431</v>
      </c>
      <c r="F85" s="331">
        <f t="shared" si="24"/>
        <v>1432</v>
      </c>
      <c r="G85" s="331">
        <f t="shared" si="24"/>
        <v>1479</v>
      </c>
      <c r="H85" s="292">
        <f t="shared" si="24"/>
        <v>1440</v>
      </c>
      <c r="I85" s="292">
        <f t="shared" si="24"/>
        <v>1440</v>
      </c>
      <c r="J85" s="292">
        <f t="shared" si="24"/>
        <v>1440</v>
      </c>
      <c r="K85" s="292">
        <f t="shared" si="24"/>
        <v>1440</v>
      </c>
      <c r="L85" s="292">
        <f t="shared" si="24"/>
        <v>1440</v>
      </c>
      <c r="M85" s="292">
        <f t="shared" si="24"/>
        <v>1440</v>
      </c>
      <c r="N85" s="292">
        <f t="shared" si="24"/>
        <v>1440</v>
      </c>
      <c r="O85" s="292">
        <f t="shared" si="24"/>
        <v>1440</v>
      </c>
      <c r="P85" s="292">
        <f t="shared" si="24"/>
        <v>1440</v>
      </c>
      <c r="Q85" s="292">
        <f t="shared" si="24"/>
        <v>1440</v>
      </c>
    </row>
    <row r="86" s="1" customFormat="1" ht="13.5" customHeight="1" spans="2:23">
      <c r="B86" s="268" t="s">
        <v>265</v>
      </c>
      <c r="C86" s="291">
        <v>1431</v>
      </c>
      <c r="D86" s="291">
        <v>1431</v>
      </c>
      <c r="E86" s="291">
        <v>1432</v>
      </c>
      <c r="F86" s="291">
        <v>1479</v>
      </c>
      <c r="G86" s="291">
        <v>1440</v>
      </c>
      <c r="H86" s="17">
        <f t="shared" ref="H86:Q86" si="25">SUM(H85)</f>
        <v>1440</v>
      </c>
      <c r="I86" s="17">
        <f t="shared" si="25"/>
        <v>1440</v>
      </c>
      <c r="J86" s="17">
        <f t="shared" si="25"/>
        <v>1440</v>
      </c>
      <c r="K86" s="17">
        <f t="shared" si="25"/>
        <v>1440</v>
      </c>
      <c r="L86" s="17">
        <f t="shared" si="25"/>
        <v>1440</v>
      </c>
      <c r="M86" s="17">
        <f t="shared" si="25"/>
        <v>1440</v>
      </c>
      <c r="N86" s="17">
        <f t="shared" si="25"/>
        <v>1440</v>
      </c>
      <c r="O86" s="17">
        <f t="shared" si="25"/>
        <v>1440</v>
      </c>
      <c r="P86" s="17">
        <f t="shared" si="25"/>
        <v>1440</v>
      </c>
      <c r="Q86" s="17">
        <f t="shared" si="25"/>
        <v>1440</v>
      </c>
    </row>
    <row r="87" s="1" customFormat="1" ht="13.5" customHeight="1" spans="2:23">
      <c r="B87" s="213" t="s">
        <v>266</v>
      </c>
      <c r="C87" s="297">
        <v>0</v>
      </c>
      <c r="D87" s="297">
        <f t="shared" ref="D87:Q87" si="26">SUM(C87:C88)</f>
        <v>0</v>
      </c>
      <c r="E87" s="297">
        <f t="shared" si="26"/>
        <v>0</v>
      </c>
      <c r="F87" s="297">
        <f t="shared" si="26"/>
        <v>0</v>
      </c>
      <c r="G87" s="297">
        <f t="shared" si="26"/>
        <v>0</v>
      </c>
      <c r="H87" s="292">
        <f t="shared" si="26"/>
        <v>0</v>
      </c>
      <c r="I87" s="292">
        <f t="shared" si="26"/>
        <v>0</v>
      </c>
      <c r="J87" s="292">
        <f t="shared" si="26"/>
        <v>0</v>
      </c>
      <c r="K87" s="292">
        <f t="shared" si="26"/>
        <v>0</v>
      </c>
      <c r="L87" s="292">
        <f t="shared" si="26"/>
        <v>0</v>
      </c>
      <c r="M87" s="292">
        <f t="shared" si="26"/>
        <v>0</v>
      </c>
      <c r="N87" s="292">
        <f t="shared" si="26"/>
        <v>0</v>
      </c>
      <c r="O87" s="292">
        <f t="shared" si="26"/>
        <v>0</v>
      </c>
      <c r="P87" s="292">
        <f t="shared" si="26"/>
        <v>0</v>
      </c>
      <c r="Q87" s="292">
        <f t="shared" si="26"/>
        <v>0</v>
      </c>
    </row>
    <row r="88" s="1" customFormat="1" ht="13.5" customHeight="1" spans="2:23">
      <c r="B88" s="213" t="s">
        <v>267</v>
      </c>
      <c r="C88" s="297">
        <v>0</v>
      </c>
      <c r="D88" s="297">
        <v>0</v>
      </c>
      <c r="E88" s="297">
        <v>0</v>
      </c>
      <c r="F88" s="297">
        <v>0</v>
      </c>
      <c r="G88" s="297">
        <v>0</v>
      </c>
      <c r="H88" s="17">
        <f t="shared" ref="H88:Q88" si="27">G88</f>
        <v>0</v>
      </c>
      <c r="I88" s="17">
        <f t="shared" si="27"/>
        <v>0</v>
      </c>
      <c r="J88" s="17">
        <f t="shared" si="27"/>
        <v>0</v>
      </c>
      <c r="K88" s="17">
        <f t="shared" si="27"/>
        <v>0</v>
      </c>
      <c r="L88" s="17">
        <f t="shared" si="27"/>
        <v>0</v>
      </c>
      <c r="M88" s="17">
        <f t="shared" si="27"/>
        <v>0</v>
      </c>
      <c r="N88" s="17">
        <f t="shared" si="27"/>
        <v>0</v>
      </c>
      <c r="O88" s="17">
        <f t="shared" si="27"/>
        <v>0</v>
      </c>
      <c r="P88" s="17">
        <f t="shared" si="27"/>
        <v>0</v>
      </c>
      <c r="Q88" s="17">
        <f t="shared" si="27"/>
        <v>0</v>
      </c>
    </row>
    <row r="89" s="1" customFormat="1" ht="14.25" customHeight="1" spans="2:23">
      <c r="B89" s="268" t="s">
        <v>268</v>
      </c>
      <c r="C89" s="333">
        <f t="shared" ref="C89:Q89" si="28">C86-SUM(C87:C88)</f>
        <v>1431</v>
      </c>
      <c r="D89" s="333">
        <f t="shared" si="28"/>
        <v>1431</v>
      </c>
      <c r="E89" s="333">
        <f t="shared" si="28"/>
        <v>1432</v>
      </c>
      <c r="F89" s="333">
        <f t="shared" si="28"/>
        <v>1479</v>
      </c>
      <c r="G89" s="333">
        <f t="shared" si="28"/>
        <v>1440</v>
      </c>
      <c r="H89" s="334">
        <f t="shared" si="28"/>
        <v>1440</v>
      </c>
      <c r="I89" s="334">
        <f t="shared" si="28"/>
        <v>1440</v>
      </c>
      <c r="J89" s="334">
        <f t="shared" si="28"/>
        <v>1440</v>
      </c>
      <c r="K89" s="334">
        <f t="shared" si="28"/>
        <v>1440</v>
      </c>
      <c r="L89" s="334">
        <f t="shared" si="28"/>
        <v>1440</v>
      </c>
      <c r="M89" s="334">
        <f t="shared" si="28"/>
        <v>1440</v>
      </c>
      <c r="N89" s="334">
        <f t="shared" si="28"/>
        <v>1440</v>
      </c>
      <c r="O89" s="334">
        <f t="shared" si="28"/>
        <v>1440</v>
      </c>
      <c r="P89" s="334">
        <f t="shared" si="28"/>
        <v>1440</v>
      </c>
      <c r="Q89" s="334">
        <f t="shared" si="28"/>
        <v>1440</v>
      </c>
    </row>
    <row r="90" ht="14.25" customHeight="1" spans="2:23">
      <c r="B90" s="213"/>
      <c r="C90" s="15"/>
      <c r="D90" s="15"/>
      <c r="E90" s="15"/>
      <c r="F90" s="15"/>
      <c r="G90" s="15"/>
      <c r="H90" s="17"/>
      <c r="I90" s="17"/>
      <c r="J90" s="17"/>
      <c r="K90" s="17"/>
      <c r="L90" s="17"/>
      <c r="M90" s="17"/>
      <c r="N90" s="17"/>
      <c r="O90" s="17"/>
      <c r="P90" s="17"/>
      <c r="Q90" s="17"/>
    </row>
    <row r="91" ht="13.5" customHeight="1" spans="2:23">
      <c r="B91" s="268" t="s">
        <v>277</v>
      </c>
      <c r="C91" s="15"/>
      <c r="D91" s="15"/>
      <c r="E91" s="15"/>
      <c r="F91" s="15"/>
      <c r="G91" s="15"/>
      <c r="H91" s="17"/>
      <c r="I91" s="17"/>
      <c r="J91" s="17"/>
      <c r="K91" s="17"/>
      <c r="L91" s="17"/>
      <c r="M91" s="17"/>
      <c r="N91" s="17"/>
      <c r="O91" s="17"/>
      <c r="P91" s="17"/>
      <c r="Q91" s="17"/>
    </row>
    <row r="92" s="1" customFormat="1" ht="13.5" customHeight="1" spans="2:23">
      <c r="B92" s="268" t="s">
        <v>262</v>
      </c>
      <c r="C92" s="331">
        <v>1188</v>
      </c>
      <c r="D92" s="331">
        <f t="shared" ref="D92:Q92" si="29">C97</f>
        <v>1234</v>
      </c>
      <c r="E92" s="331">
        <f t="shared" si="29"/>
        <v>1445</v>
      </c>
      <c r="F92" s="331">
        <f t="shared" si="29"/>
        <v>1447</v>
      </c>
      <c r="G92" s="331">
        <f t="shared" si="29"/>
        <v>1307</v>
      </c>
      <c r="H92" s="292">
        <f t="shared" si="29"/>
        <v>1369</v>
      </c>
      <c r="I92" s="292">
        <f t="shared" si="29"/>
        <v>1490.68</v>
      </c>
      <c r="J92" s="292">
        <f t="shared" si="29"/>
        <v>1612.36</v>
      </c>
      <c r="K92" s="292">
        <f t="shared" si="29"/>
        <v>1734.04</v>
      </c>
      <c r="L92" s="292">
        <f t="shared" si="29"/>
        <v>1860.5872</v>
      </c>
      <c r="M92" s="292">
        <f t="shared" si="29"/>
        <v>1987.1344</v>
      </c>
      <c r="N92" s="292">
        <f t="shared" si="29"/>
        <v>2113.6816</v>
      </c>
      <c r="O92" s="292">
        <f t="shared" si="29"/>
        <v>2245.290688</v>
      </c>
      <c r="P92" s="292">
        <f t="shared" si="29"/>
        <v>2376.899776</v>
      </c>
      <c r="Q92" s="292">
        <f t="shared" si="29"/>
        <v>2508.508864</v>
      </c>
    </row>
    <row r="93" s="1" customFormat="1" ht="13.5" customHeight="1" spans="2:23">
      <c r="B93" s="213" t="s">
        <v>270</v>
      </c>
      <c r="C93" s="297">
        <v>0</v>
      </c>
      <c r="D93" s="297">
        <v>2</v>
      </c>
      <c r="E93" s="297">
        <v>0</v>
      </c>
      <c r="F93" s="297">
        <v>0</v>
      </c>
      <c r="G93" s="297">
        <v>0</v>
      </c>
      <c r="H93" s="17"/>
      <c r="I93" s="17"/>
      <c r="J93" s="17"/>
      <c r="K93" s="17"/>
      <c r="L93" s="17"/>
      <c r="M93" s="17"/>
      <c r="N93" s="17"/>
      <c r="O93" s="17"/>
      <c r="P93" s="17"/>
      <c r="Q93" s="17"/>
    </row>
    <row r="94" s="1" customFormat="1" ht="13.5" customHeight="1" spans="2:23">
      <c r="B94" s="213" t="s">
        <v>263</v>
      </c>
      <c r="C94" s="297">
        <v>79</v>
      </c>
      <c r="D94" s="297">
        <v>220</v>
      </c>
      <c r="E94" s="297">
        <v>108</v>
      </c>
      <c r="F94" s="297">
        <v>139</v>
      </c>
      <c r="G94" s="297">
        <v>64</v>
      </c>
      <c r="H94" s="17">
        <f>G94*1.04</f>
        <v>66.56</v>
      </c>
      <c r="I94" s="17">
        <f>H94</f>
        <v>66.56</v>
      </c>
      <c r="J94" s="17">
        <f>I94</f>
        <v>66.56</v>
      </c>
      <c r="K94" s="17">
        <f>J94*1.04</f>
        <v>69.2224</v>
      </c>
      <c r="L94" s="17">
        <f>K94</f>
        <v>69.2224</v>
      </c>
      <c r="M94" s="17">
        <f>L94</f>
        <v>69.2224</v>
      </c>
      <c r="N94" s="17">
        <f>M94*1.04</f>
        <v>71.991296</v>
      </c>
      <c r="O94" s="17">
        <f>N94</f>
        <v>71.991296</v>
      </c>
      <c r="P94" s="17">
        <f>O94</f>
        <v>71.991296</v>
      </c>
      <c r="Q94" s="17">
        <f>P94*1.04</f>
        <v>74.87094784</v>
      </c>
    </row>
    <row r="95" s="1" customFormat="1" ht="13.5" customHeight="1" spans="2:23">
      <c r="B95" s="213" t="s">
        <v>264</v>
      </c>
      <c r="C95" s="297">
        <v>13</v>
      </c>
      <c r="D95" s="297">
        <v>14</v>
      </c>
      <c r="E95" s="297">
        <v>-4</v>
      </c>
      <c r="F95" s="297">
        <v>11</v>
      </c>
      <c r="G95" s="297">
        <v>53</v>
      </c>
      <c r="H95" s="17">
        <f>G95*1.04</f>
        <v>55.12</v>
      </c>
      <c r="I95" s="17">
        <f>H95</f>
        <v>55.12</v>
      </c>
      <c r="J95" s="17">
        <f>I95</f>
        <v>55.12</v>
      </c>
      <c r="K95" s="17">
        <f>J95*1.04</f>
        <v>57.3248</v>
      </c>
      <c r="L95" s="17">
        <f>K95</f>
        <v>57.3248</v>
      </c>
      <c r="M95" s="17">
        <f>L95</f>
        <v>57.3248</v>
      </c>
      <c r="N95" s="17">
        <f>M95*1.04</f>
        <v>59.617792</v>
      </c>
      <c r="O95" s="17">
        <f>N95</f>
        <v>59.617792</v>
      </c>
      <c r="P95" s="17">
        <f>O95</f>
        <v>59.617792</v>
      </c>
      <c r="Q95" s="17">
        <f>P95*1.04</f>
        <v>62.00250368</v>
      </c>
    </row>
    <row r="96" s="1" customFormat="1" ht="13.5" customHeight="1" spans="2:23">
      <c r="B96" s="213" t="s">
        <v>271</v>
      </c>
      <c r="C96" s="297">
        <v>-46</v>
      </c>
      <c r="D96" s="297">
        <v>-25</v>
      </c>
      <c r="E96" s="297">
        <v>-102</v>
      </c>
      <c r="F96" s="297">
        <v>-290</v>
      </c>
      <c r="G96" s="297">
        <v>-55</v>
      </c>
      <c r="H96" s="17">
        <f>G96*1.04</f>
        <v>-57.2</v>
      </c>
      <c r="I96" s="17">
        <f>H96</f>
        <v>-57.2</v>
      </c>
      <c r="J96" s="17">
        <f>I96</f>
        <v>-57.2</v>
      </c>
      <c r="K96" s="17">
        <f>J96*1.04</f>
        <v>-59.488</v>
      </c>
      <c r="L96" s="17">
        <f>K96</f>
        <v>-59.488</v>
      </c>
      <c r="M96" s="17">
        <f>L96</f>
        <v>-59.488</v>
      </c>
      <c r="N96" s="17">
        <f>M96*1.04</f>
        <v>-61.86752</v>
      </c>
      <c r="O96" s="17">
        <f>N96</f>
        <v>-61.86752</v>
      </c>
      <c r="P96" s="17">
        <f>O96</f>
        <v>-61.86752</v>
      </c>
      <c r="Q96" s="17">
        <f>P96*1.04</f>
        <v>-64.3422208</v>
      </c>
    </row>
    <row r="97" s="1" customFormat="1" ht="13.5" customHeight="1" spans="1:34">
      <c r="B97" s="268" t="s">
        <v>265</v>
      </c>
      <c r="C97" s="291">
        <f>SUM(C92:C96)</f>
        <v>1234</v>
      </c>
      <c r="D97" s="291">
        <f>SUM(D92:D96)</f>
        <v>1445</v>
      </c>
      <c r="E97" s="291">
        <f>SUM(E92:E96)</f>
        <v>1447</v>
      </c>
      <c r="F97" s="291">
        <f>SUM(F92:F96)</f>
        <v>1307</v>
      </c>
      <c r="G97" s="291">
        <f>SUM(G92:G96)</f>
        <v>1369</v>
      </c>
      <c r="H97" s="292">
        <f t="shared" ref="H97:Q97" si="30">SUM(H92:H95)</f>
        <v>1490.68</v>
      </c>
      <c r="I97" s="292">
        <f t="shared" si="30"/>
        <v>1612.36</v>
      </c>
      <c r="J97" s="292">
        <f t="shared" si="30"/>
        <v>1734.04</v>
      </c>
      <c r="K97" s="292">
        <f t="shared" si="30"/>
        <v>1860.5872</v>
      </c>
      <c r="L97" s="292">
        <f t="shared" si="30"/>
        <v>1987.1344</v>
      </c>
      <c r="M97" s="292">
        <f t="shared" si="30"/>
        <v>2113.6816</v>
      </c>
      <c r="N97" s="292">
        <f t="shared" si="30"/>
        <v>2245.290688</v>
      </c>
      <c r="O97" s="292">
        <f t="shared" si="30"/>
        <v>2376.899776</v>
      </c>
      <c r="P97" s="292">
        <f t="shared" si="30"/>
        <v>2508.508864</v>
      </c>
      <c r="Q97" s="292">
        <f t="shared" si="30"/>
        <v>2645.38231552</v>
      </c>
    </row>
    <row r="98" s="1" customFormat="1" ht="13.5" customHeight="1" spans="1:34">
      <c r="B98" s="213" t="s">
        <v>266</v>
      </c>
      <c r="C98" s="297">
        <v>700</v>
      </c>
      <c r="D98" s="297">
        <f t="shared" ref="D98:Q98" si="31">SUM(C98:C100)</f>
        <v>856</v>
      </c>
      <c r="E98" s="297">
        <f t="shared" si="31"/>
        <v>1032</v>
      </c>
      <c r="F98" s="297">
        <f t="shared" si="31"/>
        <v>1138</v>
      </c>
      <c r="G98" s="297">
        <f t="shared" si="31"/>
        <v>1019</v>
      </c>
      <c r="H98" s="17">
        <f t="shared" si="31"/>
        <v>1125</v>
      </c>
      <c r="I98" s="17">
        <f t="shared" si="31"/>
        <v>1235.24</v>
      </c>
      <c r="J98" s="17">
        <f t="shared" si="31"/>
        <v>1345.48</v>
      </c>
      <c r="K98" s="17">
        <f t="shared" si="31"/>
        <v>1455.72</v>
      </c>
      <c r="L98" s="17">
        <f t="shared" si="31"/>
        <v>1570.3696</v>
      </c>
      <c r="M98" s="17">
        <f t="shared" si="31"/>
        <v>1685.0192</v>
      </c>
      <c r="N98" s="17">
        <f t="shared" si="31"/>
        <v>1799.6688</v>
      </c>
      <c r="O98" s="17">
        <f t="shared" si="31"/>
        <v>1918.904384</v>
      </c>
      <c r="P98" s="17">
        <f t="shared" si="31"/>
        <v>2038.139968</v>
      </c>
      <c r="Q98" s="17">
        <f t="shared" si="31"/>
        <v>2157.375552</v>
      </c>
      <c r="W98" s="335"/>
      <c r="X98" s="335"/>
      <c r="Y98" s="335"/>
      <c r="Z98" s="335"/>
      <c r="AA98" s="335"/>
      <c r="AB98" s="291"/>
      <c r="AD98" s="291"/>
      <c r="AE98" s="291"/>
      <c r="AF98" s="291"/>
      <c r="AG98" s="57"/>
      <c r="AH98" s="57"/>
    </row>
    <row r="99" ht="13.5" customHeight="1" spans="1:34">
      <c r="B99" s="213" t="s">
        <v>267</v>
      </c>
      <c r="C99" s="297">
        <v>144</v>
      </c>
      <c r="D99" s="297">
        <v>166</v>
      </c>
      <c r="E99" s="297">
        <v>109</v>
      </c>
      <c r="F99" s="297">
        <v>-129</v>
      </c>
      <c r="G99" s="297">
        <v>56</v>
      </c>
      <c r="H99" s="17">
        <f>G99*1.04</f>
        <v>58.24</v>
      </c>
      <c r="I99" s="17">
        <f>H99</f>
        <v>58.24</v>
      </c>
      <c r="J99" s="17">
        <f>I99</f>
        <v>58.24</v>
      </c>
      <c r="K99" s="17">
        <f>J99*1.04</f>
        <v>60.5696</v>
      </c>
      <c r="L99" s="17">
        <f>K99</f>
        <v>60.5696</v>
      </c>
      <c r="M99" s="17">
        <f>L99</f>
        <v>60.5696</v>
      </c>
      <c r="N99" s="17">
        <f>M99*1.04</f>
        <v>62.992384</v>
      </c>
      <c r="O99" s="17">
        <f>N99</f>
        <v>62.992384</v>
      </c>
      <c r="P99" s="17">
        <f>O99</f>
        <v>62.992384</v>
      </c>
      <c r="Q99" s="17">
        <f>P99*1.04</f>
        <v>65.51207936</v>
      </c>
      <c r="W99" s="25"/>
      <c r="X99" s="25"/>
      <c r="Y99" s="25"/>
      <c r="Z99" s="25"/>
      <c r="AA99" s="25"/>
      <c r="AB99" s="15"/>
      <c r="AD99" s="15"/>
      <c r="AE99" s="15"/>
      <c r="AF99" s="15"/>
      <c r="AG99" s="14"/>
      <c r="AH99" s="14"/>
    </row>
    <row r="100" ht="13.5" customHeight="1" spans="1:34">
      <c r="B100" s="213" t="s">
        <v>264</v>
      </c>
      <c r="C100" s="297">
        <v>12</v>
      </c>
      <c r="D100" s="297">
        <v>10</v>
      </c>
      <c r="E100" s="297">
        <v>-3</v>
      </c>
      <c r="F100" s="297">
        <v>10</v>
      </c>
      <c r="G100" s="297">
        <v>50</v>
      </c>
      <c r="H100" s="17">
        <f>G100*1.04</f>
        <v>52</v>
      </c>
      <c r="I100" s="17">
        <f>H100</f>
        <v>52</v>
      </c>
      <c r="J100" s="17">
        <f>I100</f>
        <v>52</v>
      </c>
      <c r="K100" s="17">
        <f>J100*1.04</f>
        <v>54.08</v>
      </c>
      <c r="L100" s="17">
        <f>K100</f>
        <v>54.08</v>
      </c>
      <c r="M100" s="17">
        <f>L100</f>
        <v>54.08</v>
      </c>
      <c r="N100" s="17">
        <f>M100*1.04</f>
        <v>56.2432</v>
      </c>
      <c r="O100" s="17">
        <f>N100</f>
        <v>56.2432</v>
      </c>
      <c r="P100" s="17">
        <f>O100</f>
        <v>56.2432</v>
      </c>
      <c r="Q100" s="17">
        <f>P100*1.04</f>
        <v>58.492928</v>
      </c>
      <c r="W100" s="25"/>
      <c r="X100" s="25"/>
      <c r="Y100" s="25"/>
      <c r="Z100" s="25"/>
      <c r="AA100" s="25"/>
      <c r="AB100" s="15"/>
      <c r="AD100" s="15"/>
      <c r="AE100" s="15"/>
      <c r="AF100" s="15"/>
      <c r="AG100" s="14"/>
      <c r="AH100" s="14"/>
    </row>
    <row r="101" s="1" customFormat="1" ht="14.25" customHeight="1" spans="1:34">
      <c r="B101" s="268" t="s">
        <v>268</v>
      </c>
      <c r="C101" s="333">
        <f t="shared" ref="C101:Q101" si="32">C97-SUM(C98:C100)</f>
        <v>378</v>
      </c>
      <c r="D101" s="333">
        <f t="shared" si="32"/>
        <v>413</v>
      </c>
      <c r="E101" s="333">
        <f t="shared" si="32"/>
        <v>309</v>
      </c>
      <c r="F101" s="333">
        <f t="shared" si="32"/>
        <v>288</v>
      </c>
      <c r="G101" s="333">
        <f t="shared" si="32"/>
        <v>244</v>
      </c>
      <c r="H101" s="334">
        <f t="shared" si="32"/>
        <v>255.44</v>
      </c>
      <c r="I101" s="334">
        <f t="shared" si="32"/>
        <v>266.88</v>
      </c>
      <c r="J101" s="334">
        <f t="shared" si="32"/>
        <v>278.319999999999</v>
      </c>
      <c r="K101" s="334">
        <f t="shared" si="32"/>
        <v>290.2176</v>
      </c>
      <c r="L101" s="334">
        <f t="shared" si="32"/>
        <v>302.1152</v>
      </c>
      <c r="M101" s="334">
        <f t="shared" si="32"/>
        <v>314.0128</v>
      </c>
      <c r="N101" s="334">
        <f t="shared" si="32"/>
        <v>326.386304</v>
      </c>
      <c r="O101" s="334">
        <f t="shared" si="32"/>
        <v>338.759808</v>
      </c>
      <c r="P101" s="334">
        <f t="shared" si="32"/>
        <v>351.133312</v>
      </c>
      <c r="Q101" s="334">
        <f t="shared" si="32"/>
        <v>364.00175616</v>
      </c>
    </row>
    <row r="102" ht="12.75" customHeight="1" spans="1:34">
      <c r="B102" s="213"/>
      <c r="C102" s="15"/>
      <c r="D102" s="15"/>
      <c r="E102" s="15"/>
      <c r="F102" s="15"/>
      <c r="G102" s="15"/>
      <c r="H102" s="17"/>
      <c r="I102" s="17"/>
      <c r="J102" s="17"/>
      <c r="K102" s="17"/>
      <c r="L102" s="17"/>
      <c r="M102" s="17"/>
      <c r="N102" s="17"/>
      <c r="O102" s="17"/>
      <c r="P102" s="17"/>
      <c r="Q102" s="17"/>
    </row>
    <row r="103" s="1" customFormat="1" ht="14.25" customHeight="1" spans="1:34">
      <c r="C103" s="336"/>
      <c r="D103" s="291"/>
      <c r="E103" s="291"/>
      <c r="F103" s="291"/>
      <c r="G103" s="291"/>
      <c r="H103" s="292"/>
      <c r="I103" s="292"/>
      <c r="J103" s="292"/>
      <c r="K103" s="292"/>
      <c r="L103" s="292"/>
      <c r="M103" s="292"/>
      <c r="N103" s="292"/>
      <c r="O103" s="292"/>
      <c r="P103" s="292"/>
      <c r="Q103" s="292"/>
    </row>
    <row r="104" s="1" customFormat="1" ht="14.25" customHeight="1" spans="1:34">
      <c r="B104" s="268" t="s">
        <v>278</v>
      </c>
      <c r="C104" s="337">
        <f>SUM(C19,C32,C44,C57,C70,C82,C89,C101,)</f>
        <v>13075</v>
      </c>
      <c r="D104" s="337">
        <f t="shared" ref="D104:Q104" si="33">SUM(D19,D32,D44,D57,D70,D82,D89,D101,D103)</f>
        <v>13346</v>
      </c>
      <c r="E104" s="337">
        <f t="shared" si="33"/>
        <v>12370</v>
      </c>
      <c r="F104" s="337">
        <f t="shared" si="33"/>
        <v>11778</v>
      </c>
      <c r="G104" s="337">
        <f t="shared" si="33"/>
        <v>12651</v>
      </c>
      <c r="H104" s="334">
        <f t="shared" si="33"/>
        <v>13547.48</v>
      </c>
      <c r="I104" s="334">
        <f t="shared" si="33"/>
        <v>14443.96</v>
      </c>
      <c r="J104" s="334">
        <f t="shared" si="33"/>
        <v>15340.44</v>
      </c>
      <c r="K104" s="334">
        <f t="shared" si="33"/>
        <v>16272.7792</v>
      </c>
      <c r="L104" s="334">
        <f t="shared" si="33"/>
        <v>17205.1184</v>
      </c>
      <c r="M104" s="334">
        <f t="shared" si="33"/>
        <v>18137.4576</v>
      </c>
      <c r="N104" s="334">
        <f t="shared" si="33"/>
        <v>19107.090368</v>
      </c>
      <c r="O104" s="334">
        <f t="shared" si="33"/>
        <v>20076.723136</v>
      </c>
      <c r="P104" s="334">
        <f t="shared" si="33"/>
        <v>21046.355904</v>
      </c>
      <c r="Q104" s="334">
        <f t="shared" si="33"/>
        <v>22054.77398272</v>
      </c>
    </row>
    <row r="105" s="1" customFormat="1" ht="13.5" customHeight="1" spans="1:34">
      <c r="B105" s="268"/>
      <c r="D105" s="291"/>
      <c r="E105" s="291"/>
      <c r="F105" s="291"/>
      <c r="G105" s="291"/>
      <c r="H105" s="291"/>
      <c r="I105" s="291"/>
      <c r="J105" s="291"/>
      <c r="K105" s="291"/>
      <c r="L105" s="291"/>
      <c r="M105" s="291"/>
      <c r="N105" s="291"/>
      <c r="O105" s="291"/>
      <c r="P105" s="291"/>
      <c r="Q105" s="291"/>
    </row>
    <row r="106" s="1" customFormat="1" ht="13.5" customHeight="1" spans="1:34">
      <c r="B106" s="338" t="s">
        <v>120</v>
      </c>
      <c r="C106" s="338"/>
      <c r="D106" s="338"/>
      <c r="E106" s="338"/>
      <c r="F106" s="338"/>
      <c r="G106" s="338"/>
      <c r="H106" s="338"/>
      <c r="I106" s="338"/>
      <c r="J106" s="338"/>
      <c r="K106" s="338"/>
      <c r="L106" s="338"/>
      <c r="M106" s="338"/>
      <c r="N106" s="338"/>
      <c r="O106" s="338"/>
      <c r="P106" s="338"/>
      <c r="Q106" s="338"/>
    </row>
    <row r="107" ht="13.5" customHeight="1" spans="1:34">
      <c r="A107" s="1"/>
      <c r="B107" s="268" t="s">
        <v>279</v>
      </c>
      <c r="C107" s="1"/>
      <c r="D107" s="15"/>
      <c r="E107" s="15"/>
      <c r="F107" s="15"/>
      <c r="G107" s="15"/>
      <c r="H107" s="17"/>
      <c r="I107" s="17"/>
      <c r="J107" s="17"/>
      <c r="K107" s="17"/>
      <c r="L107" s="17"/>
      <c r="M107" s="17"/>
      <c r="N107" s="17"/>
      <c r="O107" s="17"/>
      <c r="P107" s="17"/>
      <c r="Q107" s="17"/>
    </row>
    <row r="108" s="1" customFormat="1" ht="13.5" customHeight="1" spans="1:34">
      <c r="B108" s="268" t="s">
        <v>262</v>
      </c>
      <c r="C108" s="331">
        <v>4794</v>
      </c>
      <c r="D108" s="331">
        <f t="shared" ref="D108:Q108" si="34">C113</f>
        <v>4823</v>
      </c>
      <c r="E108" s="331">
        <f t="shared" si="34"/>
        <v>6882</v>
      </c>
      <c r="F108" s="331">
        <f t="shared" si="34"/>
        <v>6552</v>
      </c>
      <c r="G108" s="331">
        <f t="shared" si="34"/>
        <v>6311</v>
      </c>
      <c r="H108" s="292">
        <f t="shared" si="34"/>
        <v>6177</v>
      </c>
      <c r="I108" s="292">
        <f t="shared" si="34"/>
        <v>6037.64</v>
      </c>
      <c r="J108" s="292">
        <f t="shared" si="34"/>
        <v>5898.28</v>
      </c>
      <c r="K108" s="292">
        <f t="shared" si="34"/>
        <v>5758.92</v>
      </c>
      <c r="L108" s="292">
        <f t="shared" si="34"/>
        <v>5613.9856</v>
      </c>
      <c r="M108" s="292">
        <f t="shared" si="34"/>
        <v>5469.0512</v>
      </c>
      <c r="N108" s="292">
        <f t="shared" si="34"/>
        <v>5324.1168</v>
      </c>
      <c r="O108" s="292">
        <f t="shared" si="34"/>
        <v>5173.385024</v>
      </c>
      <c r="P108" s="292">
        <f t="shared" si="34"/>
        <v>5022.653248</v>
      </c>
      <c r="Q108" s="292">
        <f t="shared" si="34"/>
        <v>4871.921472</v>
      </c>
    </row>
    <row r="109" s="1" customFormat="1" ht="13.5" customHeight="1" spans="1:34">
      <c r="B109" s="213" t="s">
        <v>270</v>
      </c>
      <c r="C109" s="297">
        <v>0</v>
      </c>
      <c r="D109" s="297">
        <v>0</v>
      </c>
      <c r="E109" s="297">
        <v>0</v>
      </c>
      <c r="F109" s="297">
        <v>160</v>
      </c>
      <c r="G109" s="297">
        <v>0</v>
      </c>
      <c r="H109" s="292"/>
      <c r="I109" s="292"/>
      <c r="J109" s="292"/>
      <c r="K109" s="292"/>
      <c r="L109" s="292"/>
      <c r="M109" s="292"/>
      <c r="N109" s="292"/>
      <c r="O109" s="292"/>
      <c r="P109" s="292"/>
      <c r="Q109" s="292"/>
    </row>
    <row r="110" ht="13.5" customHeight="1" spans="1:34">
      <c r="A110" s="1"/>
      <c r="B110" s="213" t="s">
        <v>263</v>
      </c>
      <c r="C110" s="297">
        <v>914</v>
      </c>
      <c r="D110" s="297">
        <v>3501</v>
      </c>
      <c r="E110" s="297">
        <v>2278</v>
      </c>
      <c r="F110" s="297">
        <v>2135</v>
      </c>
      <c r="G110" s="297">
        <v>2537</v>
      </c>
      <c r="H110" s="17">
        <f>G110*1.04</f>
        <v>2638.48</v>
      </c>
      <c r="I110" s="17">
        <f>H110</f>
        <v>2638.48</v>
      </c>
      <c r="J110" s="17">
        <f>I110</f>
        <v>2638.48</v>
      </c>
      <c r="K110" s="17">
        <f>J110*1.04</f>
        <v>2744.0192</v>
      </c>
      <c r="L110" s="17">
        <f>K110</f>
        <v>2744.0192</v>
      </c>
      <c r="M110" s="17">
        <f>L110</f>
        <v>2744.0192</v>
      </c>
      <c r="N110" s="17">
        <f>M110*1.04</f>
        <v>2853.779968</v>
      </c>
      <c r="O110" s="17">
        <f>N110</f>
        <v>2853.779968</v>
      </c>
      <c r="P110" s="17">
        <f>O110</f>
        <v>2853.779968</v>
      </c>
      <c r="Q110" s="17">
        <f>P110*1.04</f>
        <v>2967.93116672</v>
      </c>
      <c r="W110" s="25"/>
      <c r="X110" s="25"/>
      <c r="Y110" s="25"/>
      <c r="Z110" s="25"/>
      <c r="AA110" s="25"/>
      <c r="AB110" s="15"/>
      <c r="AD110" s="15"/>
      <c r="AE110" s="15"/>
      <c r="AF110" s="15"/>
      <c r="AG110" s="14"/>
      <c r="AH110" s="14"/>
    </row>
    <row r="111" ht="13.5" customHeight="1" spans="1:34">
      <c r="A111" s="1"/>
      <c r="B111" s="213" t="s">
        <v>264</v>
      </c>
      <c r="C111" s="297">
        <v>28</v>
      </c>
      <c r="D111" s="297">
        <v>153</v>
      </c>
      <c r="E111" s="297">
        <v>22</v>
      </c>
      <c r="F111" s="297">
        <v>54</v>
      </c>
      <c r="G111" s="297">
        <v>398</v>
      </c>
      <c r="H111" s="17">
        <f>G111*1.04</f>
        <v>413.92</v>
      </c>
      <c r="I111" s="17">
        <f>H111</f>
        <v>413.92</v>
      </c>
      <c r="J111" s="17">
        <f>I111</f>
        <v>413.92</v>
      </c>
      <c r="K111" s="17">
        <f>J111*1.04</f>
        <v>430.4768</v>
      </c>
      <c r="L111" s="17">
        <f>K111</f>
        <v>430.4768</v>
      </c>
      <c r="M111" s="17">
        <f>L111</f>
        <v>430.4768</v>
      </c>
      <c r="N111" s="17">
        <f>M111*1.04</f>
        <v>447.695872</v>
      </c>
      <c r="O111" s="17">
        <f>N111</f>
        <v>447.695872</v>
      </c>
      <c r="P111" s="17">
        <f>O111</f>
        <v>447.695872</v>
      </c>
      <c r="Q111" s="17">
        <f>P111*1.04</f>
        <v>465.60370688</v>
      </c>
      <c r="W111" s="25"/>
      <c r="X111" s="25"/>
      <c r="Y111" s="25"/>
      <c r="Z111" s="25"/>
      <c r="AA111" s="25"/>
      <c r="AB111" s="15"/>
      <c r="AD111" s="15"/>
      <c r="AE111" s="15"/>
      <c r="AF111" s="15"/>
      <c r="AG111" s="14"/>
      <c r="AH111" s="14"/>
    </row>
    <row r="112" ht="13.5" customHeight="1" spans="1:34">
      <c r="A112" s="1"/>
      <c r="B112" s="213" t="s">
        <v>271</v>
      </c>
      <c r="C112" s="297">
        <v>-913</v>
      </c>
      <c r="D112" s="297">
        <v>-1595</v>
      </c>
      <c r="E112" s="297">
        <v>-2630</v>
      </c>
      <c r="F112" s="297">
        <v>-2590</v>
      </c>
      <c r="G112" s="297">
        <v>-3069</v>
      </c>
      <c r="H112" s="17">
        <f>G112*1.04</f>
        <v>-3191.76</v>
      </c>
      <c r="I112" s="17">
        <f>H112</f>
        <v>-3191.76</v>
      </c>
      <c r="J112" s="17">
        <f>I112</f>
        <v>-3191.76</v>
      </c>
      <c r="K112" s="17">
        <f>J112*1.04</f>
        <v>-3319.4304</v>
      </c>
      <c r="L112" s="17">
        <f>K112</f>
        <v>-3319.4304</v>
      </c>
      <c r="M112" s="17">
        <f>L112</f>
        <v>-3319.4304</v>
      </c>
      <c r="N112" s="17">
        <f>M112*1.04</f>
        <v>-3452.207616</v>
      </c>
      <c r="O112" s="17">
        <f>N112</f>
        <v>-3452.207616</v>
      </c>
      <c r="P112" s="17">
        <f>O112</f>
        <v>-3452.207616</v>
      </c>
      <c r="Q112" s="17">
        <f>P112*1.04</f>
        <v>-3590.29592064</v>
      </c>
      <c r="W112" s="25"/>
      <c r="X112" s="25"/>
      <c r="Y112" s="25"/>
      <c r="Z112" s="25"/>
      <c r="AA112" s="25"/>
      <c r="AB112" s="15"/>
      <c r="AD112" s="15"/>
      <c r="AE112" s="15"/>
      <c r="AF112" s="15"/>
      <c r="AG112" s="14"/>
      <c r="AH112" s="14"/>
    </row>
    <row r="113" s="1" customFormat="1" ht="13.5" customHeight="1" spans="1:34">
      <c r="B113" s="268" t="s">
        <v>265</v>
      </c>
      <c r="C113" s="291">
        <f t="shared" ref="C113:Q113" si="35">SUM(C108:C112)</f>
        <v>4823</v>
      </c>
      <c r="D113" s="291">
        <f t="shared" si="35"/>
        <v>6882</v>
      </c>
      <c r="E113" s="291">
        <f t="shared" si="35"/>
        <v>6552</v>
      </c>
      <c r="F113" s="291">
        <f t="shared" si="35"/>
        <v>6311</v>
      </c>
      <c r="G113" s="291">
        <f t="shared" si="35"/>
        <v>6177</v>
      </c>
      <c r="H113" s="292">
        <f t="shared" si="35"/>
        <v>6037.64</v>
      </c>
      <c r="I113" s="292">
        <f t="shared" si="35"/>
        <v>5898.28</v>
      </c>
      <c r="J113" s="292">
        <f t="shared" si="35"/>
        <v>5758.92</v>
      </c>
      <c r="K113" s="292">
        <f t="shared" si="35"/>
        <v>5613.9856</v>
      </c>
      <c r="L113" s="292">
        <f t="shared" si="35"/>
        <v>5469.0512</v>
      </c>
      <c r="M113" s="292">
        <f t="shared" si="35"/>
        <v>5324.1168</v>
      </c>
      <c r="N113" s="292">
        <f t="shared" si="35"/>
        <v>5173.385024</v>
      </c>
      <c r="O113" s="292">
        <f t="shared" si="35"/>
        <v>5022.653248</v>
      </c>
      <c r="P113" s="292">
        <f t="shared" si="35"/>
        <v>4871.921472</v>
      </c>
      <c r="Q113" s="292">
        <f t="shared" si="35"/>
        <v>4715.16042496</v>
      </c>
      <c r="W113" s="335"/>
      <c r="X113" s="335"/>
      <c r="Y113" s="335"/>
      <c r="Z113" s="335"/>
      <c r="AA113" s="335"/>
      <c r="AB113" s="291"/>
      <c r="AD113" s="291"/>
      <c r="AE113" s="291"/>
      <c r="AF113" s="291"/>
      <c r="AG113" s="57"/>
      <c r="AH113" s="57"/>
    </row>
    <row r="114" ht="13.5" customHeight="1" spans="1:34">
      <c r="A114" s="1"/>
      <c r="B114" s="213" t="s">
        <v>266</v>
      </c>
      <c r="C114" s="297">
        <v>0</v>
      </c>
      <c r="D114" s="297">
        <f t="shared" ref="D114:Q114" si="36">SUM(C114:C117)</f>
        <v>0</v>
      </c>
      <c r="E114" s="297">
        <f t="shared" si="36"/>
        <v>0</v>
      </c>
      <c r="F114" s="297">
        <f t="shared" si="36"/>
        <v>0</v>
      </c>
      <c r="G114" s="297">
        <f t="shared" si="36"/>
        <v>0</v>
      </c>
      <c r="H114" s="17">
        <f t="shared" si="36"/>
        <v>0</v>
      </c>
      <c r="I114" s="17">
        <f t="shared" si="36"/>
        <v>0</v>
      </c>
      <c r="J114" s="17">
        <f t="shared" si="36"/>
        <v>0</v>
      </c>
      <c r="K114" s="17">
        <f t="shared" si="36"/>
        <v>0</v>
      </c>
      <c r="L114" s="17">
        <f t="shared" si="36"/>
        <v>0</v>
      </c>
      <c r="M114" s="17">
        <f t="shared" si="36"/>
        <v>0</v>
      </c>
      <c r="N114" s="17">
        <f t="shared" si="36"/>
        <v>0</v>
      </c>
      <c r="O114" s="17">
        <f t="shared" si="36"/>
        <v>0</v>
      </c>
      <c r="P114" s="17">
        <f t="shared" si="36"/>
        <v>0</v>
      </c>
      <c r="Q114" s="17">
        <f t="shared" si="36"/>
        <v>0</v>
      </c>
      <c r="W114" s="25"/>
      <c r="X114" s="25"/>
      <c r="Y114" s="25"/>
      <c r="Z114" s="25"/>
      <c r="AA114" s="25"/>
      <c r="AB114" s="15"/>
      <c r="AD114" s="15"/>
      <c r="AE114" s="15"/>
      <c r="AF114" s="15"/>
      <c r="AG114" s="14"/>
      <c r="AH114" s="14"/>
    </row>
    <row r="115" ht="13.5" customHeight="1" spans="1:34">
      <c r="A115" s="1"/>
      <c r="B115" s="213" t="s">
        <v>267</v>
      </c>
      <c r="C115" s="297">
        <v>0</v>
      </c>
      <c r="D115" s="297">
        <v>0</v>
      </c>
      <c r="E115" s="297">
        <v>0</v>
      </c>
      <c r="F115" s="297">
        <v>0</v>
      </c>
      <c r="G115" s="297">
        <v>0</v>
      </c>
      <c r="H115" s="17">
        <f>G115*1.04</f>
        <v>0</v>
      </c>
      <c r="I115" s="17">
        <f>H115</f>
        <v>0</v>
      </c>
      <c r="J115" s="17">
        <f>I115</f>
        <v>0</v>
      </c>
      <c r="K115" s="17">
        <f>J115*1.04</f>
        <v>0</v>
      </c>
      <c r="L115" s="17">
        <f>K115</f>
        <v>0</v>
      </c>
      <c r="M115" s="17">
        <f>L115</f>
        <v>0</v>
      </c>
      <c r="N115" s="17">
        <f>M115*1.04</f>
        <v>0</v>
      </c>
      <c r="O115" s="17">
        <f>N115</f>
        <v>0</v>
      </c>
      <c r="P115" s="17">
        <f>O115</f>
        <v>0</v>
      </c>
      <c r="Q115" s="17">
        <f>P115*1.04</f>
        <v>0</v>
      </c>
      <c r="W115" s="25"/>
      <c r="X115" s="25"/>
      <c r="Y115" s="25"/>
      <c r="Z115" s="25"/>
      <c r="AA115" s="25"/>
      <c r="AB115" s="15"/>
      <c r="AD115" s="15"/>
      <c r="AE115" s="15"/>
      <c r="AF115" s="15"/>
      <c r="AG115" s="14"/>
      <c r="AH115" s="14"/>
    </row>
    <row r="116" ht="13.5" customHeight="1" spans="1:34">
      <c r="A116" s="1"/>
      <c r="B116" s="213" t="s">
        <v>264</v>
      </c>
      <c r="C116" s="297">
        <v>0</v>
      </c>
      <c r="D116" s="297">
        <v>0</v>
      </c>
      <c r="E116" s="297">
        <v>0</v>
      </c>
      <c r="F116" s="297">
        <v>0</v>
      </c>
      <c r="G116" s="297">
        <v>0</v>
      </c>
      <c r="H116" s="17">
        <f>G116*1.04</f>
        <v>0</v>
      </c>
      <c r="I116" s="17">
        <f>H116</f>
        <v>0</v>
      </c>
      <c r="J116" s="17">
        <f>I116</f>
        <v>0</v>
      </c>
      <c r="K116" s="17">
        <f>J116*1.04</f>
        <v>0</v>
      </c>
      <c r="L116" s="17">
        <f>K116</f>
        <v>0</v>
      </c>
      <c r="M116" s="17">
        <f>L116</f>
        <v>0</v>
      </c>
      <c r="N116" s="17">
        <f>M116*1.04</f>
        <v>0</v>
      </c>
      <c r="O116" s="17">
        <f>N116</f>
        <v>0</v>
      </c>
      <c r="P116" s="17">
        <f>O116</f>
        <v>0</v>
      </c>
      <c r="Q116" s="17">
        <f>P116*1.04</f>
        <v>0</v>
      </c>
      <c r="W116" s="25"/>
      <c r="X116" s="25"/>
      <c r="Y116" s="25"/>
      <c r="Z116" s="25"/>
      <c r="AA116" s="25"/>
      <c r="AB116" s="15"/>
      <c r="AD116" s="15"/>
      <c r="AE116" s="15"/>
      <c r="AF116" s="15"/>
      <c r="AG116" s="14"/>
      <c r="AH116" s="14"/>
    </row>
    <row r="117" s="1" customFormat="1" ht="13.5" customHeight="1" spans="1:34">
      <c r="B117" s="213" t="s">
        <v>271</v>
      </c>
      <c r="C117" s="297">
        <v>0</v>
      </c>
      <c r="D117" s="297">
        <v>0</v>
      </c>
      <c r="E117" s="297">
        <v>0</v>
      </c>
      <c r="F117" s="297">
        <v>0</v>
      </c>
      <c r="G117" s="297">
        <v>0</v>
      </c>
      <c r="H117" s="17">
        <f>G117*1.04</f>
        <v>0</v>
      </c>
      <c r="I117" s="17">
        <f>H117</f>
        <v>0</v>
      </c>
      <c r="J117" s="17">
        <f>I117</f>
        <v>0</v>
      </c>
      <c r="K117" s="17">
        <f>J117*1.04</f>
        <v>0</v>
      </c>
      <c r="L117" s="17">
        <f>K117</f>
        <v>0</v>
      </c>
      <c r="M117" s="17">
        <f>L117</f>
        <v>0</v>
      </c>
      <c r="N117" s="17">
        <f>M117*1.04</f>
        <v>0</v>
      </c>
      <c r="O117" s="17">
        <f>N117</f>
        <v>0</v>
      </c>
      <c r="P117" s="17">
        <f>O117</f>
        <v>0</v>
      </c>
      <c r="Q117" s="17">
        <f>P117*1.04</f>
        <v>0</v>
      </c>
    </row>
    <row r="118" s="1" customFormat="1" ht="14.25" customHeight="1" spans="1:34">
      <c r="B118" s="268" t="s">
        <v>268</v>
      </c>
      <c r="C118" s="333">
        <f t="shared" ref="C118:Q118" si="37">C113-SUM(C114:C117)</f>
        <v>4823</v>
      </c>
      <c r="D118" s="333">
        <f t="shared" si="37"/>
        <v>6882</v>
      </c>
      <c r="E118" s="333">
        <f t="shared" si="37"/>
        <v>6552</v>
      </c>
      <c r="F118" s="333">
        <f t="shared" si="37"/>
        <v>6311</v>
      </c>
      <c r="G118" s="333">
        <f t="shared" si="37"/>
        <v>6177</v>
      </c>
      <c r="H118" s="334">
        <f t="shared" si="37"/>
        <v>6037.64</v>
      </c>
      <c r="I118" s="334">
        <f t="shared" si="37"/>
        <v>5898.28</v>
      </c>
      <c r="J118" s="334">
        <f t="shared" si="37"/>
        <v>5758.92</v>
      </c>
      <c r="K118" s="334">
        <f t="shared" si="37"/>
        <v>5613.9856</v>
      </c>
      <c r="L118" s="334">
        <f t="shared" si="37"/>
        <v>5469.0512</v>
      </c>
      <c r="M118" s="334">
        <f t="shared" si="37"/>
        <v>5324.1168</v>
      </c>
      <c r="N118" s="334">
        <f t="shared" si="37"/>
        <v>5173.385024</v>
      </c>
      <c r="O118" s="334">
        <f t="shared" si="37"/>
        <v>5022.653248</v>
      </c>
      <c r="P118" s="334">
        <f t="shared" si="37"/>
        <v>4871.921472</v>
      </c>
      <c r="Q118" s="334">
        <f t="shared" si="37"/>
        <v>4715.16042496</v>
      </c>
    </row>
    <row r="119" s="1" customFormat="1" ht="14.25" customHeight="1" spans="1:34">
      <c r="B119" s="268"/>
      <c r="C119" s="291"/>
      <c r="D119" s="291"/>
      <c r="E119" s="291"/>
      <c r="F119" s="291"/>
      <c r="G119" s="291"/>
      <c r="H119" s="17"/>
      <c r="I119" s="17"/>
      <c r="J119" s="17"/>
      <c r="K119" s="17"/>
      <c r="L119" s="17"/>
      <c r="M119" s="17"/>
      <c r="N119" s="17"/>
      <c r="O119" s="17"/>
      <c r="P119" s="17"/>
      <c r="Q119" s="17"/>
    </row>
    <row r="120" s="1" customFormat="1" ht="13.5" customHeight="1" spans="1:34">
      <c r="B120" s="268"/>
      <c r="C120" s="291"/>
      <c r="D120" s="291"/>
      <c r="E120" s="291"/>
      <c r="F120" s="291"/>
      <c r="G120" s="291"/>
      <c r="H120" s="17"/>
      <c r="I120" s="17"/>
      <c r="J120" s="17"/>
      <c r="K120" s="17"/>
      <c r="L120" s="17"/>
      <c r="M120" s="17"/>
      <c r="N120" s="17"/>
      <c r="O120" s="17"/>
      <c r="P120" s="17"/>
      <c r="Q120" s="17"/>
    </row>
    <row r="121" s="1" customFormat="1" ht="14.25" customHeight="1" spans="1:34">
      <c r="B121" s="1" t="s">
        <v>280</v>
      </c>
      <c r="C121" s="339">
        <f t="shared" ref="C121:Q121" si="38">C118</f>
        <v>4823</v>
      </c>
      <c r="D121" s="337">
        <f t="shared" si="38"/>
        <v>6882</v>
      </c>
      <c r="E121" s="337">
        <f t="shared" si="38"/>
        <v>6552</v>
      </c>
      <c r="F121" s="337">
        <f t="shared" si="38"/>
        <v>6311</v>
      </c>
      <c r="G121" s="337">
        <f t="shared" si="38"/>
        <v>6177</v>
      </c>
      <c r="H121" s="334">
        <f t="shared" si="38"/>
        <v>6037.64</v>
      </c>
      <c r="I121" s="334">
        <f t="shared" si="38"/>
        <v>5898.28</v>
      </c>
      <c r="J121" s="334">
        <f t="shared" si="38"/>
        <v>5758.92</v>
      </c>
      <c r="K121" s="334">
        <f t="shared" si="38"/>
        <v>5613.9856</v>
      </c>
      <c r="L121" s="334">
        <f t="shared" si="38"/>
        <v>5469.0512</v>
      </c>
      <c r="M121" s="334">
        <f t="shared" si="38"/>
        <v>5324.1168</v>
      </c>
      <c r="N121" s="334">
        <f t="shared" si="38"/>
        <v>5173.385024</v>
      </c>
      <c r="O121" s="334">
        <f t="shared" si="38"/>
        <v>5022.653248</v>
      </c>
      <c r="P121" s="334">
        <f t="shared" si="38"/>
        <v>4871.921472</v>
      </c>
      <c r="Q121" s="334">
        <f t="shared" si="38"/>
        <v>4715.16042496</v>
      </c>
    </row>
    <row r="122" ht="13.5" customHeight="1" spans="1:34">
      <c r="B122" s="213"/>
      <c r="D122" s="15"/>
      <c r="E122" s="15"/>
      <c r="F122" s="15"/>
      <c r="G122" s="15"/>
      <c r="H122" s="291"/>
      <c r="I122" s="291"/>
      <c r="J122" s="291"/>
      <c r="K122" s="291"/>
      <c r="L122" s="291"/>
      <c r="M122" s="291"/>
      <c r="N122" s="291"/>
      <c r="O122" s="291"/>
      <c r="P122" s="291"/>
      <c r="Q122" s="291"/>
    </row>
    <row r="123" ht="15" customHeight="1" spans="1:34">
      <c r="B123" s="340" t="s">
        <v>281</v>
      </c>
      <c r="C123" s="340"/>
      <c r="D123" s="340"/>
      <c r="E123" s="340"/>
      <c r="F123" s="340"/>
      <c r="G123" s="340"/>
      <c r="H123" s="340"/>
      <c r="I123" s="340"/>
      <c r="J123" s="340"/>
      <c r="K123" s="340"/>
      <c r="L123" s="340"/>
      <c r="M123" s="340"/>
      <c r="N123" s="340"/>
      <c r="O123" s="340"/>
      <c r="P123" s="340"/>
      <c r="Q123" s="340"/>
    </row>
    <row r="124" ht="13.5" customHeight="1" spans="1:34">
      <c r="B124" s="268" t="s">
        <v>282</v>
      </c>
      <c r="C124" s="1"/>
      <c r="D124" s="15"/>
      <c r="E124" s="15"/>
      <c r="F124" s="15"/>
      <c r="G124" s="15"/>
      <c r="H124" s="17"/>
      <c r="I124" s="17"/>
      <c r="J124" s="17"/>
      <c r="K124" s="17"/>
      <c r="L124" s="17"/>
      <c r="M124" s="17"/>
      <c r="N124" s="17"/>
      <c r="O124" s="17"/>
      <c r="P124" s="17"/>
      <c r="Q124" s="17"/>
    </row>
    <row r="125" s="1" customFormat="1" ht="13.5" customHeight="1" spans="1:34">
      <c r="B125" s="268" t="s">
        <v>262</v>
      </c>
      <c r="C125" s="331">
        <v>824</v>
      </c>
      <c r="D125" s="331">
        <f t="shared" ref="D125:Q125" si="39">C129</f>
        <v>915</v>
      </c>
      <c r="E125" s="331">
        <f t="shared" si="39"/>
        <v>1031</v>
      </c>
      <c r="F125" s="331">
        <f t="shared" si="39"/>
        <v>1110</v>
      </c>
      <c r="G125" s="331">
        <f t="shared" si="39"/>
        <v>1280</v>
      </c>
      <c r="H125" s="292">
        <f t="shared" si="39"/>
        <v>1642</v>
      </c>
      <c r="I125" s="292">
        <f t="shared" si="39"/>
        <v>2018.48</v>
      </c>
      <c r="J125" s="292">
        <f t="shared" si="39"/>
        <v>2394.96</v>
      </c>
      <c r="K125" s="292">
        <f t="shared" si="39"/>
        <v>2771.44</v>
      </c>
      <c r="L125" s="292">
        <f t="shared" si="39"/>
        <v>3162.9792</v>
      </c>
      <c r="M125" s="292">
        <f t="shared" si="39"/>
        <v>3554.5184</v>
      </c>
      <c r="N125" s="292">
        <f t="shared" si="39"/>
        <v>3946.0576</v>
      </c>
      <c r="O125" s="292">
        <f t="shared" si="39"/>
        <v>4353.258368</v>
      </c>
      <c r="P125" s="292">
        <f t="shared" si="39"/>
        <v>4760.459136</v>
      </c>
      <c r="Q125" s="292">
        <f t="shared" si="39"/>
        <v>5167.659904</v>
      </c>
    </row>
    <row r="126" ht="13.5" customHeight="1" spans="1:34">
      <c r="B126" s="213" t="s">
        <v>263</v>
      </c>
      <c r="C126" s="297">
        <v>85</v>
      </c>
      <c r="D126" s="297">
        <v>62</v>
      </c>
      <c r="E126" s="297">
        <v>79</v>
      </c>
      <c r="F126" s="297">
        <v>143</v>
      </c>
      <c r="G126" s="297">
        <v>184</v>
      </c>
      <c r="H126" s="17">
        <f>G126*1.04</f>
        <v>191.36</v>
      </c>
      <c r="I126" s="17">
        <f>H126</f>
        <v>191.36</v>
      </c>
      <c r="J126" s="17">
        <f>I126</f>
        <v>191.36</v>
      </c>
      <c r="K126" s="17">
        <f>J126*1.04</f>
        <v>199.0144</v>
      </c>
      <c r="L126" s="17">
        <f>K126</f>
        <v>199.0144</v>
      </c>
      <c r="M126" s="17">
        <f>L126</f>
        <v>199.0144</v>
      </c>
      <c r="N126" s="17">
        <f>M126*1.04</f>
        <v>206.974976</v>
      </c>
      <c r="O126" s="17">
        <f>N126</f>
        <v>206.974976</v>
      </c>
      <c r="P126" s="17">
        <f>O126</f>
        <v>206.974976</v>
      </c>
      <c r="Q126" s="17">
        <f>P126*1.04</f>
        <v>215.25397504</v>
      </c>
      <c r="W126" s="25"/>
      <c r="X126" s="25"/>
      <c r="Y126" s="25"/>
      <c r="Z126" s="25"/>
      <c r="AA126" s="25"/>
      <c r="AB126" s="15"/>
      <c r="AD126" s="15"/>
      <c r="AE126" s="15"/>
      <c r="AF126" s="15"/>
      <c r="AG126" s="14"/>
      <c r="AH126" s="14"/>
    </row>
    <row r="127" ht="13.5" customHeight="1" spans="1:34">
      <c r="B127" s="213" t="s">
        <v>264</v>
      </c>
      <c r="C127" s="297">
        <v>6</v>
      </c>
      <c r="D127" s="297">
        <v>58</v>
      </c>
      <c r="E127" s="297">
        <v>2</v>
      </c>
      <c r="F127" s="297">
        <v>27</v>
      </c>
      <c r="G127" s="297">
        <v>181</v>
      </c>
      <c r="H127" s="17">
        <f>G127*1.04</f>
        <v>188.24</v>
      </c>
      <c r="I127" s="17">
        <f>H127</f>
        <v>188.24</v>
      </c>
      <c r="J127" s="17">
        <f>I127</f>
        <v>188.24</v>
      </c>
      <c r="K127" s="17">
        <f>J127*1.04</f>
        <v>195.7696</v>
      </c>
      <c r="L127" s="17">
        <f>K127</f>
        <v>195.7696</v>
      </c>
      <c r="M127" s="17">
        <f>L127</f>
        <v>195.7696</v>
      </c>
      <c r="N127" s="17">
        <f>M127*1.04</f>
        <v>203.600384</v>
      </c>
      <c r="O127" s="17">
        <f>N127</f>
        <v>203.600384</v>
      </c>
      <c r="P127" s="17">
        <f>O127</f>
        <v>203.600384</v>
      </c>
      <c r="Q127" s="17">
        <f>P127*1.04</f>
        <v>211.74439936</v>
      </c>
      <c r="W127" s="25"/>
      <c r="X127" s="25"/>
      <c r="Y127" s="25"/>
      <c r="Z127" s="25"/>
      <c r="AA127" s="25"/>
      <c r="AB127" s="15"/>
      <c r="AD127" s="15"/>
      <c r="AE127" s="15"/>
      <c r="AF127" s="15"/>
      <c r="AG127" s="14"/>
      <c r="AH127" s="14"/>
    </row>
    <row r="128" ht="13.5" customHeight="1" spans="1:34">
      <c r="B128" s="213" t="s">
        <v>271</v>
      </c>
      <c r="C128" s="297">
        <v>0</v>
      </c>
      <c r="D128" s="297">
        <v>-4</v>
      </c>
      <c r="E128" s="297">
        <v>-2</v>
      </c>
      <c r="F128" s="297">
        <v>0</v>
      </c>
      <c r="G128" s="297">
        <v>-3</v>
      </c>
      <c r="H128" s="17">
        <f>G128*1.04</f>
        <v>-3.12</v>
      </c>
      <c r="I128" s="17">
        <f>H128</f>
        <v>-3.12</v>
      </c>
      <c r="J128" s="17">
        <f>I128</f>
        <v>-3.12</v>
      </c>
      <c r="K128" s="17">
        <f>J128*1.04</f>
        <v>-3.2448</v>
      </c>
      <c r="L128" s="17">
        <f>K128</f>
        <v>-3.2448</v>
      </c>
      <c r="M128" s="17">
        <f>L128</f>
        <v>-3.2448</v>
      </c>
      <c r="N128" s="17">
        <f>M128*1.04</f>
        <v>-3.374592</v>
      </c>
      <c r="O128" s="17">
        <f>N128</f>
        <v>-3.374592</v>
      </c>
      <c r="P128" s="17">
        <f>O128</f>
        <v>-3.374592</v>
      </c>
      <c r="Q128" s="17">
        <f>P128*1.04</f>
        <v>-3.50957568</v>
      </c>
      <c r="W128" s="25"/>
      <c r="X128" s="25"/>
      <c r="Y128" s="25"/>
      <c r="Z128" s="25"/>
      <c r="AA128" s="25"/>
      <c r="AB128" s="15"/>
      <c r="AD128" s="15"/>
      <c r="AE128" s="15"/>
      <c r="AF128" s="15"/>
      <c r="AG128" s="14"/>
      <c r="AH128" s="14"/>
    </row>
    <row r="129" s="1" customFormat="1" ht="13.5" customHeight="1" spans="1:34">
      <c r="B129" s="268" t="s">
        <v>265</v>
      </c>
      <c r="C129" s="291">
        <f t="shared" ref="C129:Q129" si="40">SUM(C125:C128)</f>
        <v>915</v>
      </c>
      <c r="D129" s="291">
        <f t="shared" si="40"/>
        <v>1031</v>
      </c>
      <c r="E129" s="291">
        <f t="shared" si="40"/>
        <v>1110</v>
      </c>
      <c r="F129" s="291">
        <f t="shared" si="40"/>
        <v>1280</v>
      </c>
      <c r="G129" s="291">
        <f t="shared" si="40"/>
        <v>1642</v>
      </c>
      <c r="H129" s="292">
        <f t="shared" si="40"/>
        <v>2018.48</v>
      </c>
      <c r="I129" s="292">
        <f t="shared" si="40"/>
        <v>2394.96</v>
      </c>
      <c r="J129" s="292">
        <f t="shared" si="40"/>
        <v>2771.44</v>
      </c>
      <c r="K129" s="292">
        <f t="shared" si="40"/>
        <v>3162.9792</v>
      </c>
      <c r="L129" s="292">
        <f t="shared" si="40"/>
        <v>3554.5184</v>
      </c>
      <c r="M129" s="292">
        <f t="shared" si="40"/>
        <v>3946.0576</v>
      </c>
      <c r="N129" s="292">
        <f t="shared" si="40"/>
        <v>4353.258368</v>
      </c>
      <c r="O129" s="292">
        <f t="shared" si="40"/>
        <v>4760.459136</v>
      </c>
      <c r="P129" s="292">
        <f t="shared" si="40"/>
        <v>5167.659904</v>
      </c>
      <c r="Q129" s="292">
        <f t="shared" si="40"/>
        <v>5591.14870272</v>
      </c>
      <c r="W129" s="335"/>
      <c r="X129" s="335"/>
      <c r="Y129" s="335"/>
      <c r="Z129" s="335"/>
      <c r="AA129" s="335"/>
      <c r="AB129" s="291"/>
      <c r="AD129" s="291"/>
      <c r="AE129" s="291"/>
      <c r="AF129" s="291"/>
      <c r="AG129" s="57"/>
      <c r="AH129" s="57"/>
    </row>
    <row r="130" ht="13.5" customHeight="1" spans="1:34">
      <c r="B130" s="213" t="s">
        <v>266</v>
      </c>
      <c r="C130" s="297">
        <v>492</v>
      </c>
      <c r="D130" s="297">
        <f t="shared" ref="D130:Q130" si="41">SUM(C130:C133)</f>
        <v>569</v>
      </c>
      <c r="E130" s="297">
        <f t="shared" si="41"/>
        <v>688</v>
      </c>
      <c r="F130" s="297">
        <f t="shared" si="41"/>
        <v>765</v>
      </c>
      <c r="G130" s="297">
        <f t="shared" si="41"/>
        <v>869</v>
      </c>
      <c r="H130" s="17">
        <f t="shared" si="41"/>
        <v>1093</v>
      </c>
      <c r="I130" s="17">
        <f t="shared" si="41"/>
        <v>1325.96</v>
      </c>
      <c r="J130" s="17">
        <f t="shared" si="41"/>
        <v>1558.92</v>
      </c>
      <c r="K130" s="17">
        <f t="shared" si="41"/>
        <v>1791.88</v>
      </c>
      <c r="L130" s="17">
        <f t="shared" si="41"/>
        <v>2034.1584</v>
      </c>
      <c r="M130" s="17">
        <f t="shared" si="41"/>
        <v>2276.4368</v>
      </c>
      <c r="N130" s="17">
        <f t="shared" si="41"/>
        <v>2518.7152</v>
      </c>
      <c r="O130" s="17">
        <f t="shared" si="41"/>
        <v>2770.684736</v>
      </c>
      <c r="P130" s="17">
        <f t="shared" si="41"/>
        <v>3022.654272</v>
      </c>
      <c r="Q130" s="17">
        <f t="shared" si="41"/>
        <v>3274.623808</v>
      </c>
    </row>
    <row r="131" s="1" customFormat="1" ht="13.5" customHeight="1" spans="1:34">
      <c r="B131" s="213" t="s">
        <v>267</v>
      </c>
      <c r="C131" s="297">
        <v>68</v>
      </c>
      <c r="D131" s="297">
        <v>84</v>
      </c>
      <c r="E131" s="297">
        <v>75</v>
      </c>
      <c r="F131" s="297">
        <v>87</v>
      </c>
      <c r="G131" s="297">
        <v>121</v>
      </c>
      <c r="H131" s="17">
        <f>G131*1.04</f>
        <v>125.84</v>
      </c>
      <c r="I131" s="17">
        <f>H131</f>
        <v>125.84</v>
      </c>
      <c r="J131" s="17">
        <f>I131</f>
        <v>125.84</v>
      </c>
      <c r="K131" s="17">
        <f>J131*1.04</f>
        <v>130.8736</v>
      </c>
      <c r="L131" s="17">
        <f>K131</f>
        <v>130.8736</v>
      </c>
      <c r="M131" s="17">
        <f>L131</f>
        <v>130.8736</v>
      </c>
      <c r="N131" s="17">
        <f>M131*1.04</f>
        <v>136.108544</v>
      </c>
      <c r="O131" s="17">
        <f>N131</f>
        <v>136.108544</v>
      </c>
      <c r="P131" s="17">
        <f>O131</f>
        <v>136.108544</v>
      </c>
      <c r="Q131" s="17">
        <f>P131*1.04</f>
        <v>141.55288576</v>
      </c>
    </row>
    <row r="132" s="1" customFormat="1" ht="13.5" customHeight="1" spans="1:34">
      <c r="B132" s="213" t="s">
        <v>264</v>
      </c>
      <c r="C132" s="297">
        <v>9</v>
      </c>
      <c r="D132" s="297">
        <v>38</v>
      </c>
      <c r="E132" s="297">
        <v>4</v>
      </c>
      <c r="F132" s="297">
        <v>17</v>
      </c>
      <c r="G132" s="297">
        <v>106</v>
      </c>
      <c r="H132" s="17">
        <f>G132*1.04</f>
        <v>110.24</v>
      </c>
      <c r="I132" s="17">
        <f>H132</f>
        <v>110.24</v>
      </c>
      <c r="J132" s="17">
        <f>I132</f>
        <v>110.24</v>
      </c>
      <c r="K132" s="17">
        <f>J132*1.04</f>
        <v>114.6496</v>
      </c>
      <c r="L132" s="17">
        <f>K132</f>
        <v>114.6496</v>
      </c>
      <c r="M132" s="17">
        <f>L132</f>
        <v>114.6496</v>
      </c>
      <c r="N132" s="17">
        <f>M132*1.04</f>
        <v>119.235584</v>
      </c>
      <c r="O132" s="17">
        <f>N132</f>
        <v>119.235584</v>
      </c>
      <c r="P132" s="17">
        <f>O132</f>
        <v>119.235584</v>
      </c>
      <c r="Q132" s="17">
        <f>P132*1.04</f>
        <v>124.00500736</v>
      </c>
    </row>
    <row r="133" ht="13.5" customHeight="1" spans="1:34">
      <c r="B133" s="213" t="s">
        <v>271</v>
      </c>
      <c r="C133" s="297">
        <v>0</v>
      </c>
      <c r="D133" s="297">
        <v>-3</v>
      </c>
      <c r="E133" s="297">
        <v>-2</v>
      </c>
      <c r="F133" s="297">
        <v>0</v>
      </c>
      <c r="G133" s="297">
        <v>-3</v>
      </c>
      <c r="H133" s="17">
        <f>G133*1.04</f>
        <v>-3.12</v>
      </c>
      <c r="I133" s="17">
        <f>H133</f>
        <v>-3.12</v>
      </c>
      <c r="J133" s="17">
        <f>I133</f>
        <v>-3.12</v>
      </c>
      <c r="K133" s="17">
        <f>J133*1.04</f>
        <v>-3.2448</v>
      </c>
      <c r="L133" s="17">
        <f>K133</f>
        <v>-3.2448</v>
      </c>
      <c r="M133" s="17">
        <f>L133</f>
        <v>-3.2448</v>
      </c>
      <c r="N133" s="17">
        <f>M133*1.04</f>
        <v>-3.374592</v>
      </c>
      <c r="O133" s="17">
        <f>N133</f>
        <v>-3.374592</v>
      </c>
      <c r="P133" s="17">
        <f>O133</f>
        <v>-3.374592</v>
      </c>
      <c r="Q133" s="17">
        <f>P133*1.04</f>
        <v>-3.50957568</v>
      </c>
      <c r="W133" s="25"/>
      <c r="X133" s="25"/>
      <c r="Y133" s="25"/>
      <c r="Z133" s="25"/>
      <c r="AA133" s="25"/>
      <c r="AB133" s="25"/>
    </row>
    <row r="134" s="1" customFormat="1" ht="14.25" customHeight="1" spans="1:34">
      <c r="B134" s="268" t="s">
        <v>268</v>
      </c>
      <c r="C134" s="333">
        <f t="shared" ref="C134:Q134" si="42">C129-SUM(C130:C133)</f>
        <v>346</v>
      </c>
      <c r="D134" s="333">
        <f t="shared" si="42"/>
        <v>343</v>
      </c>
      <c r="E134" s="333">
        <f t="shared" si="42"/>
        <v>345</v>
      </c>
      <c r="F134" s="333">
        <f t="shared" si="42"/>
        <v>411</v>
      </c>
      <c r="G134" s="333">
        <f t="shared" si="42"/>
        <v>549</v>
      </c>
      <c r="H134" s="334">
        <f t="shared" si="42"/>
        <v>692.52</v>
      </c>
      <c r="I134" s="334">
        <f t="shared" si="42"/>
        <v>836.04</v>
      </c>
      <c r="J134" s="334">
        <f t="shared" si="42"/>
        <v>979.56</v>
      </c>
      <c r="K134" s="334">
        <f t="shared" si="42"/>
        <v>1128.8208</v>
      </c>
      <c r="L134" s="334">
        <f t="shared" si="42"/>
        <v>1278.0816</v>
      </c>
      <c r="M134" s="334">
        <f t="shared" si="42"/>
        <v>1427.3424</v>
      </c>
      <c r="N134" s="334">
        <f t="shared" si="42"/>
        <v>1582.573632</v>
      </c>
      <c r="O134" s="334">
        <f t="shared" si="42"/>
        <v>1737.804864</v>
      </c>
      <c r="P134" s="334">
        <f t="shared" si="42"/>
        <v>1893.036096</v>
      </c>
      <c r="Q134" s="334">
        <f t="shared" si="42"/>
        <v>2054.47657728</v>
      </c>
      <c r="AD134" s="15"/>
      <c r="AE134" s="15"/>
      <c r="AF134" s="15"/>
    </row>
    <row r="135" ht="14.25" customHeight="1" spans="1:34">
      <c r="B135" s="213"/>
      <c r="C135" s="15"/>
      <c r="D135" s="15"/>
      <c r="E135" s="15"/>
      <c r="F135" s="15"/>
      <c r="G135" s="15"/>
      <c r="H135" s="17"/>
      <c r="I135" s="17"/>
      <c r="J135" s="17"/>
      <c r="K135" s="17"/>
      <c r="L135" s="17"/>
      <c r="M135" s="17"/>
      <c r="N135" s="17"/>
      <c r="O135" s="17"/>
      <c r="P135" s="17"/>
      <c r="Q135" s="17"/>
    </row>
    <row r="136" s="1" customFormat="1" ht="13.5" customHeight="1" spans="1:34">
      <c r="A136" s="3"/>
      <c r="B136" s="268" t="s">
        <v>283</v>
      </c>
      <c r="H136" s="341"/>
      <c r="I136" s="242"/>
      <c r="J136" s="242"/>
      <c r="K136" s="242"/>
      <c r="L136" s="242"/>
      <c r="M136" s="242"/>
      <c r="N136" s="242"/>
      <c r="O136" s="242"/>
      <c r="P136" s="242"/>
      <c r="Q136" s="242"/>
    </row>
    <row r="137" s="1" customFormat="1" ht="13.5" customHeight="1" spans="1:34">
      <c r="A137" s="3"/>
      <c r="B137" s="268" t="s">
        <v>262</v>
      </c>
      <c r="C137" s="331">
        <v>2064</v>
      </c>
      <c r="D137" s="331">
        <f t="shared" ref="D137:Q137" si="43">C140</f>
        <v>2080</v>
      </c>
      <c r="E137" s="331">
        <f t="shared" si="43"/>
        <v>2507</v>
      </c>
      <c r="F137" s="331">
        <f t="shared" si="43"/>
        <v>2512</v>
      </c>
      <c r="G137" s="331">
        <f t="shared" si="43"/>
        <v>4383</v>
      </c>
      <c r="H137" s="292">
        <f t="shared" si="43"/>
        <v>5335</v>
      </c>
      <c r="I137" s="292">
        <f t="shared" si="43"/>
        <v>6325.08</v>
      </c>
      <c r="J137" s="292">
        <f t="shared" si="43"/>
        <v>7315.16</v>
      </c>
      <c r="K137" s="292">
        <f t="shared" si="43"/>
        <v>8305.24</v>
      </c>
      <c r="L137" s="292">
        <f t="shared" si="43"/>
        <v>9334.9232</v>
      </c>
      <c r="M137" s="292">
        <f t="shared" si="43"/>
        <v>10364.6064</v>
      </c>
      <c r="N137" s="292">
        <f t="shared" si="43"/>
        <v>11394.2896</v>
      </c>
      <c r="O137" s="292">
        <f t="shared" si="43"/>
        <v>12465.160128</v>
      </c>
      <c r="P137" s="292">
        <f t="shared" si="43"/>
        <v>13536.030656</v>
      </c>
      <c r="Q137" s="292">
        <f t="shared" si="43"/>
        <v>14606.901184</v>
      </c>
    </row>
    <row r="138" s="1" customFormat="1" ht="13.5" customHeight="1" spans="1:34">
      <c r="A138" s="3"/>
      <c r="B138" s="213" t="s">
        <v>270</v>
      </c>
      <c r="C138" s="297">
        <v>0</v>
      </c>
      <c r="D138" s="297">
        <v>274</v>
      </c>
      <c r="E138" s="297">
        <v>0</v>
      </c>
      <c r="F138" s="297">
        <v>1780</v>
      </c>
      <c r="G138" s="297">
        <v>222</v>
      </c>
      <c r="H138" s="17">
        <f>G138*1.04</f>
        <v>230.88</v>
      </c>
      <c r="I138" s="17">
        <f>H138</f>
        <v>230.88</v>
      </c>
      <c r="J138" s="17">
        <f>I138</f>
        <v>230.88</v>
      </c>
      <c r="K138" s="17">
        <f>J138*1.04</f>
        <v>240.1152</v>
      </c>
      <c r="L138" s="17">
        <f>K138</f>
        <v>240.1152</v>
      </c>
      <c r="M138" s="17">
        <f>L138</f>
        <v>240.1152</v>
      </c>
      <c r="N138" s="17">
        <f>M138*1.04</f>
        <v>249.719808</v>
      </c>
      <c r="O138" s="17">
        <f>N138</f>
        <v>249.719808</v>
      </c>
      <c r="P138" s="17">
        <f>O138</f>
        <v>249.719808</v>
      </c>
      <c r="Q138" s="17">
        <f>P138*1.04</f>
        <v>259.70860032</v>
      </c>
    </row>
    <row r="139" s="1" customFormat="1" ht="13.5" customHeight="1" spans="1:34">
      <c r="A139" s="3"/>
      <c r="B139" s="213" t="s">
        <v>264</v>
      </c>
      <c r="C139" s="297">
        <v>16</v>
      </c>
      <c r="D139" s="297">
        <v>153</v>
      </c>
      <c r="E139" s="297">
        <v>5</v>
      </c>
      <c r="F139" s="297">
        <v>91</v>
      </c>
      <c r="G139" s="297">
        <v>730</v>
      </c>
      <c r="H139" s="17">
        <f>G139*1.04</f>
        <v>759.2</v>
      </c>
      <c r="I139" s="17">
        <f>H139</f>
        <v>759.2</v>
      </c>
      <c r="J139" s="17">
        <f>I139</f>
        <v>759.2</v>
      </c>
      <c r="K139" s="17">
        <f>J139*1.04</f>
        <v>789.568</v>
      </c>
      <c r="L139" s="17">
        <f>K139</f>
        <v>789.568</v>
      </c>
      <c r="M139" s="17">
        <f>L139</f>
        <v>789.568</v>
      </c>
      <c r="N139" s="17">
        <f>M139*1.04</f>
        <v>821.15072</v>
      </c>
      <c r="O139" s="17">
        <f>N139</f>
        <v>821.15072</v>
      </c>
      <c r="P139" s="17">
        <f>O139</f>
        <v>821.15072</v>
      </c>
      <c r="Q139" s="17">
        <f>P139*1.04</f>
        <v>853.9967488</v>
      </c>
    </row>
    <row r="140" s="1" customFormat="1" ht="13.5" customHeight="1" spans="1:34">
      <c r="B140" s="268" t="s">
        <v>265</v>
      </c>
      <c r="C140" s="291">
        <f t="shared" ref="C140:Q140" si="44">SUM(C137:C139)</f>
        <v>2080</v>
      </c>
      <c r="D140" s="291">
        <f t="shared" si="44"/>
        <v>2507</v>
      </c>
      <c r="E140" s="291">
        <f t="shared" si="44"/>
        <v>2512</v>
      </c>
      <c r="F140" s="291">
        <f t="shared" si="44"/>
        <v>4383</v>
      </c>
      <c r="G140" s="291">
        <f t="shared" si="44"/>
        <v>5335</v>
      </c>
      <c r="H140" s="292">
        <f t="shared" si="44"/>
        <v>6325.08</v>
      </c>
      <c r="I140" s="292">
        <f t="shared" si="44"/>
        <v>7315.16</v>
      </c>
      <c r="J140" s="292">
        <f t="shared" si="44"/>
        <v>8305.24</v>
      </c>
      <c r="K140" s="292">
        <f t="shared" si="44"/>
        <v>9334.9232</v>
      </c>
      <c r="L140" s="292">
        <f t="shared" si="44"/>
        <v>10364.6064</v>
      </c>
      <c r="M140" s="292">
        <f t="shared" si="44"/>
        <v>11394.2896</v>
      </c>
      <c r="N140" s="292">
        <f t="shared" si="44"/>
        <v>12465.160128</v>
      </c>
      <c r="O140" s="292">
        <f t="shared" si="44"/>
        <v>13536.030656</v>
      </c>
      <c r="P140" s="292">
        <f t="shared" si="44"/>
        <v>14606.901184</v>
      </c>
      <c r="Q140" s="292">
        <f t="shared" si="44"/>
        <v>15720.60653312</v>
      </c>
    </row>
    <row r="141" ht="13.5" customHeight="1" spans="1:34">
      <c r="B141" s="213" t="s">
        <v>266</v>
      </c>
      <c r="C141" s="297">
        <v>1021</v>
      </c>
      <c r="D141" s="297">
        <f t="shared" ref="D141:Q141" si="45">SUM(C141:C143)</f>
        <v>1279</v>
      </c>
      <c r="E141" s="297">
        <f t="shared" si="45"/>
        <v>1600</v>
      </c>
      <c r="F141" s="297">
        <f t="shared" si="45"/>
        <v>1800</v>
      </c>
      <c r="G141" s="297">
        <f t="shared" si="45"/>
        <v>2377</v>
      </c>
      <c r="H141" s="17">
        <f t="shared" si="45"/>
        <v>3392</v>
      </c>
      <c r="I141" s="17">
        <f t="shared" si="45"/>
        <v>4447.6</v>
      </c>
      <c r="J141" s="17">
        <f t="shared" si="45"/>
        <v>5503.2</v>
      </c>
      <c r="K141" s="17">
        <f t="shared" si="45"/>
        <v>6558.8</v>
      </c>
      <c r="L141" s="17">
        <f t="shared" si="45"/>
        <v>7656.624</v>
      </c>
      <c r="M141" s="17">
        <f t="shared" si="45"/>
        <v>8754.448</v>
      </c>
      <c r="N141" s="17">
        <f t="shared" si="45"/>
        <v>9852.272</v>
      </c>
      <c r="O141" s="17">
        <f t="shared" si="45"/>
        <v>10994.00896</v>
      </c>
      <c r="P141" s="17">
        <f t="shared" si="45"/>
        <v>12135.74592</v>
      </c>
      <c r="Q141" s="17">
        <f t="shared" si="45"/>
        <v>13277.48288</v>
      </c>
      <c r="W141" s="25"/>
      <c r="X141" s="25"/>
      <c r="Y141" s="25"/>
      <c r="Z141" s="25"/>
      <c r="AA141" s="25"/>
      <c r="AB141" s="15"/>
      <c r="AD141" s="15"/>
      <c r="AE141" s="15"/>
      <c r="AF141" s="15"/>
      <c r="AG141" s="14"/>
      <c r="AH141" s="14"/>
    </row>
    <row r="142" ht="13.5" customHeight="1" spans="1:34">
      <c r="B142" s="213" t="s">
        <v>267</v>
      </c>
      <c r="C142" s="297">
        <v>238</v>
      </c>
      <c r="D142" s="297">
        <v>236</v>
      </c>
      <c r="E142" s="297">
        <v>194</v>
      </c>
      <c r="F142" s="297">
        <v>530</v>
      </c>
      <c r="G142" s="297">
        <v>644</v>
      </c>
      <c r="H142" s="17">
        <f>G142*1.04</f>
        <v>669.76</v>
      </c>
      <c r="I142" s="17">
        <f>H142</f>
        <v>669.76</v>
      </c>
      <c r="J142" s="17">
        <f>I142</f>
        <v>669.76</v>
      </c>
      <c r="K142" s="17">
        <f>J142*1.04</f>
        <v>696.5504</v>
      </c>
      <c r="L142" s="17">
        <f>K142</f>
        <v>696.5504</v>
      </c>
      <c r="M142" s="17">
        <f>L142</f>
        <v>696.5504</v>
      </c>
      <c r="N142" s="17">
        <f>M142*1.04</f>
        <v>724.412416</v>
      </c>
      <c r="O142" s="17">
        <f>N142</f>
        <v>724.412416</v>
      </c>
      <c r="P142" s="17">
        <f>O142</f>
        <v>724.412416</v>
      </c>
      <c r="Q142" s="17">
        <f>P142*1.04</f>
        <v>753.38891264</v>
      </c>
      <c r="W142" s="25"/>
      <c r="X142" s="25"/>
      <c r="Y142" s="25"/>
      <c r="Z142" s="25"/>
      <c r="AA142" s="25"/>
      <c r="AB142" s="15"/>
      <c r="AD142" s="15"/>
      <c r="AE142" s="15"/>
      <c r="AF142" s="15"/>
      <c r="AG142" s="14"/>
      <c r="AH142" s="14"/>
    </row>
    <row r="143" ht="13.5" customHeight="1" spans="1:34">
      <c r="B143" s="213" t="s">
        <v>264</v>
      </c>
      <c r="C143" s="297">
        <v>20</v>
      </c>
      <c r="D143" s="297">
        <v>85</v>
      </c>
      <c r="E143" s="297">
        <v>6</v>
      </c>
      <c r="F143" s="297">
        <v>47</v>
      </c>
      <c r="G143" s="297">
        <v>371</v>
      </c>
      <c r="H143" s="17">
        <f>G143*1.04</f>
        <v>385.84</v>
      </c>
      <c r="I143" s="17">
        <f>H143</f>
        <v>385.84</v>
      </c>
      <c r="J143" s="17">
        <f>I143</f>
        <v>385.84</v>
      </c>
      <c r="K143" s="17">
        <f>J143*1.04</f>
        <v>401.2736</v>
      </c>
      <c r="L143" s="17">
        <f>K143</f>
        <v>401.2736</v>
      </c>
      <c r="M143" s="17">
        <f>L143</f>
        <v>401.2736</v>
      </c>
      <c r="N143" s="17">
        <f>M143*1.04</f>
        <v>417.324544</v>
      </c>
      <c r="O143" s="17">
        <f>N143</f>
        <v>417.324544</v>
      </c>
      <c r="P143" s="17">
        <f>O143</f>
        <v>417.324544</v>
      </c>
      <c r="Q143" s="17">
        <f>P143*1.04</f>
        <v>434.01752576</v>
      </c>
    </row>
    <row r="144" s="1" customFormat="1" ht="14.25" customHeight="1" spans="1:34">
      <c r="A144" s="3"/>
      <c r="B144" s="268" t="s">
        <v>268</v>
      </c>
      <c r="C144" s="333">
        <f t="shared" ref="C144:Q144" si="46">C140-SUM(C141:C143)</f>
        <v>801</v>
      </c>
      <c r="D144" s="333">
        <f t="shared" si="46"/>
        <v>907</v>
      </c>
      <c r="E144" s="333">
        <f t="shared" si="46"/>
        <v>712</v>
      </c>
      <c r="F144" s="333">
        <f t="shared" si="46"/>
        <v>2006</v>
      </c>
      <c r="G144" s="333">
        <f t="shared" si="46"/>
        <v>1943</v>
      </c>
      <c r="H144" s="334">
        <f t="shared" si="46"/>
        <v>1877.48</v>
      </c>
      <c r="I144" s="334">
        <f t="shared" si="46"/>
        <v>1811.96</v>
      </c>
      <c r="J144" s="334">
        <f t="shared" si="46"/>
        <v>1746.44</v>
      </c>
      <c r="K144" s="334">
        <f t="shared" si="46"/>
        <v>1678.2992</v>
      </c>
      <c r="L144" s="334">
        <f t="shared" si="46"/>
        <v>1610.1584</v>
      </c>
      <c r="M144" s="334">
        <f t="shared" si="46"/>
        <v>1542.0176</v>
      </c>
      <c r="N144" s="334">
        <f t="shared" si="46"/>
        <v>1471.15116799999</v>
      </c>
      <c r="O144" s="334">
        <f t="shared" si="46"/>
        <v>1400.284736</v>
      </c>
      <c r="P144" s="334">
        <f t="shared" si="46"/>
        <v>1329.418304</v>
      </c>
      <c r="Q144" s="334">
        <f t="shared" si="46"/>
        <v>1255.71721472</v>
      </c>
      <c r="AD144" s="15"/>
      <c r="AE144" s="15"/>
      <c r="AF144" s="15"/>
    </row>
    <row r="145" ht="14.25" customHeight="1" spans="2:34">
      <c r="B145" s="213"/>
      <c r="G145" s="15"/>
      <c r="H145" s="17"/>
      <c r="I145" s="17"/>
      <c r="J145" s="17"/>
      <c r="K145" s="17"/>
      <c r="L145" s="17"/>
      <c r="M145" s="17"/>
      <c r="N145" s="17"/>
      <c r="O145" s="17"/>
      <c r="P145" s="17"/>
      <c r="Q145" s="17"/>
    </row>
    <row r="146" s="1" customFormat="1" ht="13.5" customHeight="1" spans="2:34">
      <c r="B146" s="268" t="s">
        <v>284</v>
      </c>
      <c r="C146" s="291"/>
      <c r="D146" s="291"/>
      <c r="E146" s="291"/>
      <c r="F146" s="291"/>
      <c r="H146" s="342"/>
      <c r="I146" s="292"/>
      <c r="J146" s="292"/>
      <c r="K146" s="292"/>
      <c r="L146" s="292"/>
      <c r="M146" s="292"/>
      <c r="N146" s="292"/>
      <c r="O146" s="292"/>
      <c r="P146" s="292"/>
      <c r="Q146" s="292"/>
    </row>
    <row r="147" s="1" customFormat="1" ht="13.5" customHeight="1" spans="2:34">
      <c r="B147" s="268" t="s">
        <v>262</v>
      </c>
      <c r="C147" s="331">
        <v>960</v>
      </c>
      <c r="D147" s="331">
        <f t="shared" ref="D147:Q147" si="47">C150</f>
        <v>986</v>
      </c>
      <c r="E147" s="331">
        <f t="shared" si="47"/>
        <v>1121</v>
      </c>
      <c r="F147" s="331">
        <f t="shared" si="47"/>
        <v>1132</v>
      </c>
      <c r="G147" s="331">
        <f t="shared" si="47"/>
        <v>1321</v>
      </c>
      <c r="H147" s="292">
        <f t="shared" si="47"/>
        <v>1573</v>
      </c>
      <c r="I147" s="292">
        <f t="shared" si="47"/>
        <v>1835.08</v>
      </c>
      <c r="J147" s="292">
        <f t="shared" si="47"/>
        <v>2097.16</v>
      </c>
      <c r="K147" s="292">
        <f t="shared" si="47"/>
        <v>2359.24</v>
      </c>
      <c r="L147" s="292">
        <f t="shared" si="47"/>
        <v>2631.8032</v>
      </c>
      <c r="M147" s="292">
        <f t="shared" si="47"/>
        <v>2904.3664</v>
      </c>
      <c r="N147" s="292">
        <f t="shared" si="47"/>
        <v>3176.9296</v>
      </c>
      <c r="O147" s="292">
        <f t="shared" si="47"/>
        <v>3460.395328</v>
      </c>
      <c r="P147" s="292">
        <f t="shared" si="47"/>
        <v>3743.861056</v>
      </c>
      <c r="Q147" s="292">
        <f t="shared" si="47"/>
        <v>4027.326784</v>
      </c>
    </row>
    <row r="148" ht="13.5" customHeight="1" spans="2:34">
      <c r="B148" s="213" t="s">
        <v>270</v>
      </c>
      <c r="C148" s="297">
        <v>0</v>
      </c>
      <c r="D148" s="297">
        <v>54</v>
      </c>
      <c r="E148" s="297">
        <v>0</v>
      </c>
      <c r="F148" s="297">
        <v>160</v>
      </c>
      <c r="G148" s="297">
        <v>75</v>
      </c>
      <c r="H148" s="17">
        <f>G148*1.04</f>
        <v>78</v>
      </c>
      <c r="I148" s="17">
        <f>H148</f>
        <v>78</v>
      </c>
      <c r="J148" s="17">
        <f>I148</f>
        <v>78</v>
      </c>
      <c r="K148" s="17">
        <f>J148*1.04</f>
        <v>81.12</v>
      </c>
      <c r="L148" s="17">
        <f>K148</f>
        <v>81.12</v>
      </c>
      <c r="M148" s="17">
        <f>L148</f>
        <v>81.12</v>
      </c>
      <c r="N148" s="17">
        <f>M148*1.04</f>
        <v>84.3648</v>
      </c>
      <c r="O148" s="17">
        <f>N148</f>
        <v>84.3648</v>
      </c>
      <c r="P148" s="17">
        <f>O148</f>
        <v>84.3648</v>
      </c>
      <c r="Q148" s="17">
        <f>P148*1.04</f>
        <v>87.739392</v>
      </c>
      <c r="W148" s="25"/>
      <c r="X148" s="25"/>
      <c r="Y148" s="25"/>
      <c r="Z148" s="25"/>
      <c r="AA148" s="25"/>
      <c r="AB148" s="15"/>
      <c r="AD148" s="15"/>
      <c r="AE148" s="15"/>
      <c r="AF148" s="15"/>
      <c r="AG148" s="14"/>
      <c r="AH148" s="14"/>
    </row>
    <row r="149" ht="13.5" customHeight="1" spans="2:34">
      <c r="B149" s="213" t="s">
        <v>264</v>
      </c>
      <c r="C149" s="297">
        <v>26</v>
      </c>
      <c r="D149" s="297">
        <v>81</v>
      </c>
      <c r="E149" s="297">
        <v>11</v>
      </c>
      <c r="F149" s="297">
        <v>29</v>
      </c>
      <c r="G149" s="297">
        <v>177</v>
      </c>
      <c r="H149" s="17">
        <f>G149*1.04</f>
        <v>184.08</v>
      </c>
      <c r="I149" s="17">
        <f>H149</f>
        <v>184.08</v>
      </c>
      <c r="J149" s="17">
        <f>I149</f>
        <v>184.08</v>
      </c>
      <c r="K149" s="17">
        <f>J149*1.04</f>
        <v>191.4432</v>
      </c>
      <c r="L149" s="17">
        <f>K149</f>
        <v>191.4432</v>
      </c>
      <c r="M149" s="17">
        <f>L149</f>
        <v>191.4432</v>
      </c>
      <c r="N149" s="17">
        <f>M149*1.04</f>
        <v>199.100928</v>
      </c>
      <c r="O149" s="17">
        <f>N149</f>
        <v>199.100928</v>
      </c>
      <c r="P149" s="17">
        <f>O149</f>
        <v>199.100928</v>
      </c>
      <c r="Q149" s="17">
        <f>P149*1.04</f>
        <v>207.06496512</v>
      </c>
      <c r="W149" s="1"/>
      <c r="X149" s="1"/>
      <c r="Y149" s="1"/>
      <c r="Z149" s="1"/>
      <c r="AA149" s="1"/>
      <c r="AB149" s="1"/>
    </row>
    <row r="150" s="1" customFormat="1" ht="13.5" customHeight="1" spans="2:34">
      <c r="B150" s="268" t="s">
        <v>265</v>
      </c>
      <c r="C150" s="291">
        <f t="shared" ref="C150:Q150" si="48">SUM(C147:C149)</f>
        <v>986</v>
      </c>
      <c r="D150" s="291">
        <f t="shared" si="48"/>
        <v>1121</v>
      </c>
      <c r="E150" s="291">
        <f t="shared" si="48"/>
        <v>1132</v>
      </c>
      <c r="F150" s="291">
        <f t="shared" si="48"/>
        <v>1321</v>
      </c>
      <c r="G150" s="291">
        <f t="shared" si="48"/>
        <v>1573</v>
      </c>
      <c r="H150" s="292">
        <f t="shared" si="48"/>
        <v>1835.08</v>
      </c>
      <c r="I150" s="292">
        <f t="shared" si="48"/>
        <v>2097.16</v>
      </c>
      <c r="J150" s="292">
        <f t="shared" si="48"/>
        <v>2359.24</v>
      </c>
      <c r="K150" s="292">
        <f t="shared" si="48"/>
        <v>2631.8032</v>
      </c>
      <c r="L150" s="292">
        <f t="shared" si="48"/>
        <v>2904.3664</v>
      </c>
      <c r="M150" s="292">
        <f t="shared" si="48"/>
        <v>3176.9296</v>
      </c>
      <c r="N150" s="292">
        <f t="shared" si="48"/>
        <v>3460.395328</v>
      </c>
      <c r="O150" s="292">
        <f t="shared" si="48"/>
        <v>3743.861056</v>
      </c>
      <c r="P150" s="292">
        <f t="shared" si="48"/>
        <v>4027.326784</v>
      </c>
      <c r="Q150" s="292">
        <f t="shared" si="48"/>
        <v>4322.13114112</v>
      </c>
    </row>
    <row r="151" ht="13.5" customHeight="1" spans="2:34">
      <c r="B151" s="213" t="s">
        <v>266</v>
      </c>
      <c r="C151" s="297">
        <v>263</v>
      </c>
      <c r="D151" s="297">
        <f t="shared" ref="D151:Q151" si="49">SUM(C151:C154)</f>
        <v>426</v>
      </c>
      <c r="E151" s="297">
        <f t="shared" si="49"/>
        <v>622</v>
      </c>
      <c r="F151" s="297">
        <f t="shared" si="49"/>
        <v>792</v>
      </c>
      <c r="G151" s="297">
        <f t="shared" si="49"/>
        <v>972</v>
      </c>
      <c r="H151" s="17">
        <f t="shared" si="49"/>
        <v>1240</v>
      </c>
      <c r="I151" s="17">
        <f t="shared" si="49"/>
        <v>1518.72</v>
      </c>
      <c r="J151" s="17">
        <f t="shared" si="49"/>
        <v>1797.44</v>
      </c>
      <c r="K151" s="17">
        <f t="shared" si="49"/>
        <v>2076.16</v>
      </c>
      <c r="L151" s="17">
        <f t="shared" si="49"/>
        <v>2366.0288</v>
      </c>
      <c r="M151" s="17">
        <f t="shared" si="49"/>
        <v>2655.8976</v>
      </c>
      <c r="N151" s="17">
        <f t="shared" si="49"/>
        <v>2945.7664</v>
      </c>
      <c r="O151" s="17">
        <f t="shared" si="49"/>
        <v>3247.229952</v>
      </c>
      <c r="P151" s="17">
        <f t="shared" si="49"/>
        <v>3548.693504</v>
      </c>
      <c r="Q151" s="17">
        <f t="shared" si="49"/>
        <v>3850.157056</v>
      </c>
      <c r="W151" s="1"/>
      <c r="X151" s="1"/>
      <c r="Y151" s="1"/>
      <c r="Z151" s="1"/>
      <c r="AA151" s="1"/>
      <c r="AB151" s="1"/>
    </row>
    <row r="152" ht="13.5" customHeight="1" spans="2:34">
      <c r="B152" s="213" t="s">
        <v>285</v>
      </c>
      <c r="C152" s="297">
        <v>0</v>
      </c>
      <c r="D152" s="297">
        <v>0</v>
      </c>
      <c r="E152" s="297">
        <v>0</v>
      </c>
      <c r="F152" s="297">
        <v>0</v>
      </c>
      <c r="G152" s="297">
        <v>0</v>
      </c>
      <c r="H152" s="17">
        <v>0</v>
      </c>
      <c r="I152" s="17">
        <v>0</v>
      </c>
      <c r="J152" s="17">
        <v>0</v>
      </c>
      <c r="K152" s="17">
        <v>0</v>
      </c>
      <c r="L152" s="17">
        <v>0</v>
      </c>
      <c r="M152" s="17">
        <v>0</v>
      </c>
      <c r="N152" s="17">
        <v>0</v>
      </c>
      <c r="O152" s="17">
        <v>0</v>
      </c>
      <c r="P152" s="17">
        <v>0</v>
      </c>
      <c r="Q152" s="17">
        <v>0</v>
      </c>
      <c r="W152" s="1"/>
      <c r="X152" s="1"/>
      <c r="Y152" s="1"/>
      <c r="Z152" s="1"/>
      <c r="AA152" s="1"/>
      <c r="AB152" s="1"/>
    </row>
    <row r="153" ht="13.5" customHeight="1" spans="2:34">
      <c r="B153" s="213" t="s">
        <v>267</v>
      </c>
      <c r="C153" s="297">
        <v>158</v>
      </c>
      <c r="D153" s="297">
        <v>164</v>
      </c>
      <c r="E153" s="297">
        <v>163</v>
      </c>
      <c r="F153" s="297">
        <v>160</v>
      </c>
      <c r="G153" s="297">
        <v>144</v>
      </c>
      <c r="H153" s="17">
        <f>G153*1.04</f>
        <v>149.76</v>
      </c>
      <c r="I153" s="17">
        <f>H153</f>
        <v>149.76</v>
      </c>
      <c r="J153" s="17">
        <f>I153</f>
        <v>149.76</v>
      </c>
      <c r="K153" s="17">
        <f>J153*1.04</f>
        <v>155.7504</v>
      </c>
      <c r="L153" s="17">
        <f>K153</f>
        <v>155.7504</v>
      </c>
      <c r="M153" s="17">
        <f>L153</f>
        <v>155.7504</v>
      </c>
      <c r="N153" s="17">
        <f>M153*1.04</f>
        <v>161.980416</v>
      </c>
      <c r="O153" s="17">
        <f>N153</f>
        <v>161.980416</v>
      </c>
      <c r="P153" s="17">
        <f>O153</f>
        <v>161.980416</v>
      </c>
      <c r="Q153" s="17">
        <f>P153*1.04</f>
        <v>168.45963264</v>
      </c>
      <c r="W153" s="1"/>
      <c r="X153" s="1"/>
      <c r="Y153" s="1"/>
      <c r="Z153" s="1"/>
      <c r="AA153" s="1"/>
      <c r="AB153" s="1"/>
    </row>
    <row r="154" ht="13.5" customHeight="1" spans="2:34">
      <c r="B154" s="213" t="s">
        <v>264</v>
      </c>
      <c r="C154" s="297">
        <v>5</v>
      </c>
      <c r="D154" s="297">
        <v>32</v>
      </c>
      <c r="E154" s="297">
        <v>7</v>
      </c>
      <c r="F154" s="297">
        <v>20</v>
      </c>
      <c r="G154" s="297">
        <v>124</v>
      </c>
      <c r="H154" s="17">
        <f>G154*1.04</f>
        <v>128.96</v>
      </c>
      <c r="I154" s="17">
        <f>H154</f>
        <v>128.96</v>
      </c>
      <c r="J154" s="17">
        <f>I154</f>
        <v>128.96</v>
      </c>
      <c r="K154" s="17">
        <f>J154*1.04</f>
        <v>134.1184</v>
      </c>
      <c r="L154" s="17">
        <f>K154</f>
        <v>134.1184</v>
      </c>
      <c r="M154" s="17">
        <f>L154</f>
        <v>134.1184</v>
      </c>
      <c r="N154" s="17">
        <f>M154*1.04</f>
        <v>139.483136</v>
      </c>
      <c r="O154" s="17">
        <f>N154</f>
        <v>139.483136</v>
      </c>
      <c r="P154" s="17">
        <f>O154</f>
        <v>139.483136</v>
      </c>
      <c r="Q154" s="17">
        <f>P154*1.04</f>
        <v>145.06246144</v>
      </c>
    </row>
    <row r="155" s="1" customFormat="1" ht="14.25" customHeight="1" spans="2:34">
      <c r="B155" s="268" t="s">
        <v>268</v>
      </c>
      <c r="C155" s="333">
        <f t="shared" ref="C155:Q155" si="50">C150-SUM(C151:C154)</f>
        <v>560</v>
      </c>
      <c r="D155" s="333">
        <f t="shared" si="50"/>
        <v>499</v>
      </c>
      <c r="E155" s="333">
        <f t="shared" si="50"/>
        <v>340</v>
      </c>
      <c r="F155" s="333">
        <f t="shared" si="50"/>
        <v>349</v>
      </c>
      <c r="G155" s="333">
        <f t="shared" si="50"/>
        <v>333</v>
      </c>
      <c r="H155" s="334">
        <f t="shared" si="50"/>
        <v>316.36</v>
      </c>
      <c r="I155" s="334">
        <f t="shared" si="50"/>
        <v>299.72</v>
      </c>
      <c r="J155" s="334">
        <f t="shared" si="50"/>
        <v>283.08</v>
      </c>
      <c r="K155" s="334">
        <f t="shared" si="50"/>
        <v>265.7744</v>
      </c>
      <c r="L155" s="334">
        <f t="shared" si="50"/>
        <v>248.468800000001</v>
      </c>
      <c r="M155" s="334">
        <f t="shared" si="50"/>
        <v>231.163200000001</v>
      </c>
      <c r="N155" s="334">
        <f t="shared" si="50"/>
        <v>213.165376000001</v>
      </c>
      <c r="O155" s="334">
        <f t="shared" si="50"/>
        <v>195.167552000001</v>
      </c>
      <c r="P155" s="334">
        <f t="shared" si="50"/>
        <v>177.169728000001</v>
      </c>
      <c r="Q155" s="334">
        <f t="shared" si="50"/>
        <v>158.451991040001</v>
      </c>
    </row>
    <row r="156" ht="14.25" customHeight="1" spans="2:34">
      <c r="B156" s="213"/>
      <c r="C156" s="15"/>
      <c r="D156" s="15"/>
      <c r="E156" s="15"/>
      <c r="F156" s="15"/>
      <c r="G156" s="15"/>
      <c r="H156" s="17"/>
      <c r="I156" s="17"/>
      <c r="J156" s="17"/>
      <c r="K156" s="17"/>
      <c r="L156" s="17"/>
      <c r="M156" s="17"/>
      <c r="N156" s="17"/>
      <c r="O156" s="17"/>
      <c r="P156" s="17"/>
      <c r="Q156" s="17"/>
    </row>
    <row r="157" ht="13.5" customHeight="1" spans="2:34">
      <c r="B157" s="213"/>
      <c r="C157" s="15"/>
      <c r="D157" s="15"/>
      <c r="E157" s="15"/>
      <c r="F157" s="15"/>
      <c r="G157" s="15"/>
      <c r="H157" s="17"/>
      <c r="I157" s="17"/>
      <c r="J157" s="17"/>
      <c r="K157" s="17"/>
      <c r="L157" s="17"/>
      <c r="M157" s="17"/>
      <c r="N157" s="17"/>
      <c r="O157" s="17"/>
      <c r="P157" s="17"/>
      <c r="Q157" s="17"/>
    </row>
    <row r="158" s="1" customFormat="1" ht="14.25" customHeight="1" spans="2:34">
      <c r="B158" s="268" t="s">
        <v>286</v>
      </c>
      <c r="C158" s="343">
        <f t="shared" ref="C158:Q158" si="51">+C155+C144+C134</f>
        <v>1707</v>
      </c>
      <c r="D158" s="343">
        <f t="shared" si="51"/>
        <v>1749</v>
      </c>
      <c r="E158" s="343">
        <f t="shared" si="51"/>
        <v>1397</v>
      </c>
      <c r="F158" s="343">
        <f t="shared" si="51"/>
        <v>2766</v>
      </c>
      <c r="G158" s="343">
        <f t="shared" si="51"/>
        <v>2825</v>
      </c>
      <c r="H158" s="334">
        <f t="shared" si="51"/>
        <v>2886.36</v>
      </c>
      <c r="I158" s="334">
        <f t="shared" si="51"/>
        <v>2947.72</v>
      </c>
      <c r="J158" s="334">
        <f t="shared" si="51"/>
        <v>3009.08</v>
      </c>
      <c r="K158" s="334">
        <f t="shared" si="51"/>
        <v>3072.8944</v>
      </c>
      <c r="L158" s="334">
        <f t="shared" si="51"/>
        <v>3136.7088</v>
      </c>
      <c r="M158" s="334">
        <f t="shared" si="51"/>
        <v>3200.5232</v>
      </c>
      <c r="N158" s="334">
        <f t="shared" si="51"/>
        <v>3266.890176</v>
      </c>
      <c r="O158" s="334">
        <f t="shared" si="51"/>
        <v>3333.257152</v>
      </c>
      <c r="P158" s="334">
        <f t="shared" si="51"/>
        <v>3399.624128</v>
      </c>
      <c r="Q158" s="334">
        <f t="shared" si="51"/>
        <v>3468.64578304</v>
      </c>
    </row>
    <row r="159" ht="13.5" customHeight="1" spans="2:34">
      <c r="B159" s="213"/>
      <c r="H159" s="292"/>
      <c r="I159" s="292"/>
      <c r="J159" s="292"/>
      <c r="K159" s="292"/>
      <c r="L159" s="292"/>
      <c r="M159" s="292"/>
      <c r="N159" s="292"/>
      <c r="O159" s="292"/>
      <c r="P159" s="292"/>
      <c r="Q159" s="292"/>
    </row>
    <row r="160" s="1" customFormat="1" ht="13.5" customHeight="1" spans="2:34">
      <c r="B160" s="268" t="s">
        <v>287</v>
      </c>
      <c r="C160" s="57">
        <f t="shared" ref="C160:Q160" si="52">C158+C121+C104</f>
        <v>19605</v>
      </c>
      <c r="D160" s="57">
        <f t="shared" si="52"/>
        <v>21977</v>
      </c>
      <c r="E160" s="57">
        <f t="shared" si="52"/>
        <v>20319</v>
      </c>
      <c r="F160" s="57">
        <f t="shared" si="52"/>
        <v>20855</v>
      </c>
      <c r="G160" s="57">
        <f t="shared" si="52"/>
        <v>21653</v>
      </c>
      <c r="H160" s="292">
        <f t="shared" si="52"/>
        <v>22471.48</v>
      </c>
      <c r="I160" s="292">
        <f t="shared" si="52"/>
        <v>23289.96</v>
      </c>
      <c r="J160" s="292">
        <f t="shared" si="52"/>
        <v>24108.44</v>
      </c>
      <c r="K160" s="292">
        <f t="shared" si="52"/>
        <v>24959.6592</v>
      </c>
      <c r="L160" s="292">
        <f t="shared" si="52"/>
        <v>25810.8784</v>
      </c>
      <c r="M160" s="292">
        <f t="shared" si="52"/>
        <v>26662.0976</v>
      </c>
      <c r="N160" s="292">
        <f t="shared" si="52"/>
        <v>27547.365568</v>
      </c>
      <c r="O160" s="292">
        <f t="shared" si="52"/>
        <v>28432.633536</v>
      </c>
      <c r="P160" s="292">
        <f t="shared" si="52"/>
        <v>29317.901504</v>
      </c>
      <c r="Q160" s="292">
        <f t="shared" si="52"/>
        <v>30238.58019072</v>
      </c>
    </row>
    <row r="161" s="1" customFormat="1" ht="13.5" customHeight="1" spans="2:18">
      <c r="B161" s="268" t="s">
        <v>267</v>
      </c>
      <c r="C161" s="291">
        <f>'P&amp;L Input'!C28</f>
        <v>3476</v>
      </c>
      <c r="D161" s="291">
        <f>'P&amp;L Input'!D28</f>
        <v>4225</v>
      </c>
      <c r="E161" s="291">
        <f>'P&amp;L Input'!E28</f>
        <v>4678</v>
      </c>
      <c r="F161" s="291">
        <f>'P&amp;L Input'!F28</f>
        <v>4812</v>
      </c>
      <c r="G161" s="291">
        <f>'P&amp;L Input'!G28</f>
        <v>4902</v>
      </c>
      <c r="H161" s="292">
        <f ca="1">SUMIF($B$11:$Q$158,$B$161,H11:H154)</f>
        <v>3083.6</v>
      </c>
      <c r="I161" s="292">
        <f ca="1" t="shared" ref="I161:Q161" si="53">SUMIF($B$11:$Q$158,$B$161,I11:I156)</f>
        <v>3083.6</v>
      </c>
      <c r="J161" s="292">
        <f ca="1" t="shared" si="53"/>
        <v>3083.6</v>
      </c>
      <c r="K161" s="292">
        <f ca="1" t="shared" si="53"/>
        <v>3206.944</v>
      </c>
      <c r="L161" s="292">
        <f ca="1" t="shared" si="53"/>
        <v>3206.944</v>
      </c>
      <c r="M161" s="292">
        <f ca="1" t="shared" si="53"/>
        <v>3206.944</v>
      </c>
      <c r="N161" s="292">
        <f ca="1" t="shared" si="53"/>
        <v>3335.22176</v>
      </c>
      <c r="O161" s="292">
        <f ca="1" t="shared" si="53"/>
        <v>3335.22176</v>
      </c>
      <c r="P161" s="292">
        <f ca="1" t="shared" si="53"/>
        <v>3335.22176</v>
      </c>
      <c r="Q161" s="292">
        <f ca="1" t="shared" si="53"/>
        <v>3468.6306304</v>
      </c>
    </row>
    <row r="162" s="280" customFormat="1" ht="13.5" customHeight="1" spans="2:18">
      <c r="B162" s="344" t="s">
        <v>288</v>
      </c>
      <c r="C162" s="58">
        <v>0</v>
      </c>
      <c r="D162" s="345">
        <f t="shared" ref="D162:Q162" si="54">D160+D161-C160</f>
        <v>6597</v>
      </c>
      <c r="E162" s="345">
        <f t="shared" si="54"/>
        <v>3020</v>
      </c>
      <c r="F162" s="345">
        <f t="shared" si="54"/>
        <v>5348</v>
      </c>
      <c r="G162" s="58">
        <f t="shared" si="54"/>
        <v>5700</v>
      </c>
      <c r="H162" s="346">
        <f ca="1" t="shared" si="54"/>
        <v>3902.08</v>
      </c>
      <c r="I162" s="346">
        <f ca="1" t="shared" si="54"/>
        <v>3902.08</v>
      </c>
      <c r="J162" s="346">
        <f ca="1" t="shared" si="54"/>
        <v>3902.08</v>
      </c>
      <c r="K162" s="346">
        <f ca="1" t="shared" si="54"/>
        <v>4058.1632</v>
      </c>
      <c r="L162" s="346">
        <f ca="1" t="shared" si="54"/>
        <v>4058.1632</v>
      </c>
      <c r="M162" s="346">
        <f ca="1" t="shared" si="54"/>
        <v>4058.1632</v>
      </c>
      <c r="N162" s="346">
        <f ca="1" t="shared" si="54"/>
        <v>4220.489728</v>
      </c>
      <c r="O162" s="346">
        <f ca="1" t="shared" si="54"/>
        <v>4220.489728</v>
      </c>
      <c r="P162" s="346">
        <f ca="1" t="shared" si="54"/>
        <v>4220.489728</v>
      </c>
      <c r="Q162" s="346">
        <f ca="1" t="shared" si="54"/>
        <v>4389.30931712</v>
      </c>
      <c r="R162" s="58"/>
    </row>
    <row r="163" ht="13.5" customHeight="1" spans="2:18">
      <c r="B163" s="213"/>
      <c r="H163" s="16"/>
      <c r="I163" s="16"/>
      <c r="J163" s="16"/>
      <c r="K163" s="16"/>
      <c r="L163" s="16"/>
      <c r="M163" s="16"/>
      <c r="N163" s="16"/>
      <c r="O163" s="16"/>
      <c r="P163" s="16"/>
      <c r="Q163" s="347"/>
      <c r="R163" s="21"/>
    </row>
    <row r="164" s="1" customFormat="1" ht="13.5" customHeight="1" spans="2:18">
      <c r="B164" s="268" t="s">
        <v>121</v>
      </c>
      <c r="C164" s="57">
        <f>'Balance Sheet'!D15</f>
        <v>416</v>
      </c>
      <c r="D164" s="57">
        <f>'Balance Sheet'!E15</f>
        <v>288</v>
      </c>
      <c r="E164" s="57">
        <f>'Balance Sheet'!F15</f>
        <v>293</v>
      </c>
      <c r="F164" s="57">
        <f>'Balance Sheet'!G15</f>
        <v>814</v>
      </c>
      <c r="G164" s="57">
        <f>'Balance Sheet'!H15</f>
        <v>526</v>
      </c>
      <c r="H164" s="287">
        <f t="shared" ref="H164:Q164" si="55">G164+H165</f>
        <v>548</v>
      </c>
      <c r="I164" s="287">
        <f t="shared" si="55"/>
        <v>570.11</v>
      </c>
      <c r="J164" s="287">
        <f t="shared" si="55"/>
        <v>592.33055</v>
      </c>
      <c r="K164" s="287">
        <f t="shared" si="55"/>
        <v>614.66220275</v>
      </c>
      <c r="L164" s="287">
        <f t="shared" si="55"/>
        <v>637.10551376375</v>
      </c>
      <c r="M164" s="287">
        <f t="shared" si="55"/>
        <v>659.661041332569</v>
      </c>
      <c r="N164" s="287">
        <f t="shared" si="55"/>
        <v>682.329346539232</v>
      </c>
      <c r="O164" s="287">
        <f t="shared" si="55"/>
        <v>705.110993271928</v>
      </c>
      <c r="P164" s="287">
        <f t="shared" si="55"/>
        <v>728.006548238287</v>
      </c>
      <c r="Q164" s="287">
        <f t="shared" si="55"/>
        <v>751.016580979479</v>
      </c>
    </row>
    <row r="165" s="280" customFormat="1" ht="13.5" customHeight="1" spans="2:18">
      <c r="B165" s="344" t="s">
        <v>289</v>
      </c>
      <c r="C165" s="58">
        <v>0</v>
      </c>
      <c r="D165" s="58">
        <f>D164-C164</f>
        <v>-128</v>
      </c>
      <c r="E165" s="58">
        <f>E164-D164</f>
        <v>5</v>
      </c>
      <c r="F165" s="58">
        <f>F164-E164</f>
        <v>521</v>
      </c>
      <c r="G165" s="58">
        <f>G164-F164</f>
        <v>-288</v>
      </c>
      <c r="H165" s="346">
        <f>AVERAGE(C165:G165)</f>
        <v>22</v>
      </c>
      <c r="I165" s="346">
        <f t="shared" ref="I165:Q165" si="56">H165*1.005</f>
        <v>22.11</v>
      </c>
      <c r="J165" s="346">
        <f t="shared" si="56"/>
        <v>22.22055</v>
      </c>
      <c r="K165" s="346">
        <f t="shared" si="56"/>
        <v>22.33165275</v>
      </c>
      <c r="L165" s="346">
        <f t="shared" si="56"/>
        <v>22.44331101375</v>
      </c>
      <c r="M165" s="346">
        <f t="shared" si="56"/>
        <v>22.5555275688187</v>
      </c>
      <c r="N165" s="346">
        <f t="shared" si="56"/>
        <v>22.6683052066628</v>
      </c>
      <c r="O165" s="346">
        <f t="shared" si="56"/>
        <v>22.7816467326961</v>
      </c>
      <c r="P165" s="346">
        <f t="shared" si="56"/>
        <v>22.8955549663596</v>
      </c>
      <c r="Q165" s="346">
        <f t="shared" si="56"/>
        <v>23.0100327411914</v>
      </c>
    </row>
    <row r="166" ht="13.5" customHeight="1" spans="2:18">
      <c r="B166" s="213"/>
      <c r="H166" s="13"/>
      <c r="I166" s="13"/>
      <c r="J166" s="13"/>
      <c r="K166" s="13"/>
      <c r="L166" s="13"/>
      <c r="M166" s="13"/>
      <c r="N166" s="13"/>
      <c r="O166" s="13"/>
      <c r="P166" s="13"/>
      <c r="Q166" s="348"/>
    </row>
    <row r="167" ht="13.5" customHeight="1" spans="2:18">
      <c r="B167" s="213"/>
      <c r="H167" s="13"/>
      <c r="I167" s="13"/>
      <c r="J167" s="13"/>
      <c r="K167" s="13"/>
      <c r="L167" s="13"/>
      <c r="M167" s="13"/>
      <c r="N167" s="13"/>
      <c r="O167" s="13"/>
      <c r="P167" s="13"/>
      <c r="Q167" s="13"/>
    </row>
    <row r="168" s="1" customFormat="1" ht="14.25" customHeight="1" spans="2:18">
      <c r="B168" s="268" t="s">
        <v>290</v>
      </c>
      <c r="C168" s="349">
        <v>0</v>
      </c>
      <c r="D168" s="350">
        <f t="shared" ref="D168:Q168" si="57">D162+D165</f>
        <v>6469</v>
      </c>
      <c r="E168" s="350">
        <f t="shared" si="57"/>
        <v>3025</v>
      </c>
      <c r="F168" s="350">
        <f t="shared" si="57"/>
        <v>5869</v>
      </c>
      <c r="G168" s="350">
        <f t="shared" si="57"/>
        <v>5412</v>
      </c>
      <c r="H168" s="351">
        <f ca="1" t="shared" si="57"/>
        <v>3924.08</v>
      </c>
      <c r="I168" s="351">
        <f ca="1" t="shared" si="57"/>
        <v>3924.19</v>
      </c>
      <c r="J168" s="351">
        <f ca="1" t="shared" si="57"/>
        <v>3924.30055</v>
      </c>
      <c r="K168" s="351">
        <f ca="1" t="shared" si="57"/>
        <v>4080.49485275</v>
      </c>
      <c r="L168" s="351">
        <f ca="1" t="shared" si="57"/>
        <v>4080.60651101375</v>
      </c>
      <c r="M168" s="351">
        <f ca="1" t="shared" si="57"/>
        <v>4080.71872756882</v>
      </c>
      <c r="N168" s="351">
        <f ca="1" t="shared" si="57"/>
        <v>4243.15803320666</v>
      </c>
      <c r="O168" s="351">
        <f ca="1" t="shared" si="57"/>
        <v>4243.2713747327</v>
      </c>
      <c r="P168" s="351">
        <f ca="1" t="shared" si="57"/>
        <v>4243.38528296636</v>
      </c>
      <c r="Q168" s="351">
        <f ca="1" t="shared" si="57"/>
        <v>4412.31934986119</v>
      </c>
    </row>
    <row r="169" ht="14.25" customHeight="1" spans="2:18">
      <c r="H169" s="23"/>
      <c r="I169" s="352"/>
      <c r="J169" s="352"/>
      <c r="K169" s="352"/>
      <c r="L169" s="352"/>
      <c r="M169" s="352"/>
      <c r="N169" s="352"/>
      <c r="O169" s="352"/>
      <c r="P169" s="352"/>
      <c r="Q169" s="352"/>
    </row>
    <row r="170" ht="13.5" customHeight="1" spans="2:18">
      <c r="C170" s="14"/>
      <c r="D170" s="14"/>
      <c r="E170" s="14"/>
      <c r="F170" s="14"/>
      <c r="G170" s="14"/>
      <c r="I170" s="14"/>
      <c r="L170" s="14"/>
      <c r="O170" s="14"/>
    </row>
    <row r="172" ht="13.5" customHeight="1" spans="2:18">
      <c r="F172" s="14"/>
    </row>
  </sheetData>
  <mergeCells count="7">
    <mergeCell ref="P6:Q6"/>
    <mergeCell ref="B7:Q7"/>
    <mergeCell ref="B10:Q10"/>
    <mergeCell ref="B106:Q106"/>
    <mergeCell ref="B123:Q123"/>
    <mergeCell ref="B8:B9"/>
    <mergeCell ref="B2:D4"/>
  </mergeCells>
  <pageMargins left="0.7" right="0.7" top="0.75" bottom="0.75" header="0.511811023622047" footer="0.511811023622047"/>
  <pageSetup paperSize="1"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AC090"/>
  </sheetPr>
  <dimension ref="B2:R55"/>
  <sheetViews>
    <sheetView showGridLines="0" zoomScale="87" zoomScaleNormal="87" topLeftCell="A31" workbookViewId="0">
      <selection activeCell="I36" sqref="I36"/>
    </sheetView>
  </sheetViews>
  <sheetFormatPr defaultColWidth="8.83333333333333" defaultRowHeight="13.8"/>
  <cols>
    <col min="1" max="1" width="4.33333333333333" style="3" customWidth="1"/>
    <col min="2" max="2" width="3.16666666666667" style="3" customWidth="1"/>
    <col min="3" max="3" width="33.5185185185185" style="3" customWidth="1"/>
    <col min="4" max="12" width="10.5092592592593" style="3" customWidth="1"/>
    <col min="13" max="13" width="12.5" style="3" customWidth="1"/>
    <col min="14" max="18" width="12.1666666666667" style="3" customWidth="1"/>
    <col min="19" max="16384" width="8.83333333333333" style="3"/>
  </cols>
  <sheetData>
    <row r="2" ht="13.5" customHeight="1" spans="2:18">
      <c r="B2" s="173" t="s">
        <v>21</v>
      </c>
      <c r="C2" s="173"/>
      <c r="D2" s="173"/>
    </row>
    <row r="3" ht="13.5" customHeight="1" spans="2:18">
      <c r="B3" s="173"/>
      <c r="C3" s="173"/>
      <c r="D3" s="173"/>
    </row>
    <row r="4" ht="13.5" customHeight="1" spans="2:18">
      <c r="B4" s="173"/>
      <c r="C4" s="173"/>
      <c r="D4" s="173"/>
    </row>
    <row r="6" ht="15" customHeight="1" spans="2:18">
      <c r="B6" s="316"/>
      <c r="C6" s="316"/>
      <c r="D6" s="316"/>
      <c r="E6" s="316"/>
      <c r="G6" s="6"/>
      <c r="H6" s="6"/>
      <c r="M6" s="317" t="s">
        <v>291</v>
      </c>
      <c r="N6" s="318"/>
      <c r="O6" s="318"/>
      <c r="Q6" s="5" t="s">
        <v>83</v>
      </c>
      <c r="R6" s="5"/>
    </row>
    <row r="7" ht="15" customHeight="1" spans="2:18">
      <c r="B7" s="261" t="s">
        <v>292</v>
      </c>
      <c r="C7" s="261"/>
      <c r="D7" s="261"/>
      <c r="E7" s="261"/>
      <c r="F7" s="261"/>
      <c r="G7" s="261"/>
      <c r="H7" s="261"/>
      <c r="I7" s="261"/>
      <c r="J7" s="261"/>
      <c r="K7" s="261"/>
      <c r="L7" s="261"/>
      <c r="M7" s="261"/>
      <c r="N7" s="261"/>
      <c r="O7" s="261"/>
      <c r="P7" s="261"/>
      <c r="Q7" s="261"/>
      <c r="R7" s="261"/>
    </row>
    <row r="8" ht="14.25" customHeight="1" spans="2:18">
      <c r="B8" s="262" t="s">
        <v>39</v>
      </c>
      <c r="C8" s="262"/>
      <c r="D8" s="9">
        <f>FAS!C8</f>
        <v>2022</v>
      </c>
      <c r="E8" s="9">
        <f>FAS!D8</f>
        <v>2023</v>
      </c>
      <c r="F8" s="9">
        <f>FAS!E8</f>
        <v>2024</v>
      </c>
      <c r="G8" s="9">
        <f>FAS!F8</f>
        <v>2025</v>
      </c>
      <c r="H8" s="9">
        <f>FAS!G8</f>
        <v>2026</v>
      </c>
      <c r="I8" s="10">
        <f>FAS!H8</f>
        <v>2027</v>
      </c>
      <c r="J8" s="10">
        <f>FAS!I8</f>
        <v>2028</v>
      </c>
      <c r="K8" s="10">
        <f>FAS!J8</f>
        <v>2029</v>
      </c>
      <c r="L8" s="10">
        <f>FAS!K8</f>
        <v>2030</v>
      </c>
      <c r="M8" s="10">
        <f>FAS!L8</f>
        <v>2031</v>
      </c>
      <c r="N8" s="10">
        <f>FAS!M8</f>
        <v>2032</v>
      </c>
      <c r="O8" s="10">
        <f>FAS!N8</f>
        <v>2033</v>
      </c>
      <c r="P8" s="10">
        <f>FAS!O8</f>
        <v>2034</v>
      </c>
      <c r="Q8" s="10">
        <f>FAS!P8</f>
        <v>2035</v>
      </c>
      <c r="R8" s="10">
        <f>FAS!Q8</f>
        <v>2036</v>
      </c>
    </row>
    <row r="9" ht="13.5" customHeight="1" spans="2:18">
      <c r="B9" s="262"/>
      <c r="C9" s="262"/>
      <c r="D9" s="11" t="s">
        <v>84</v>
      </c>
      <c r="E9" s="11" t="s">
        <v>84</v>
      </c>
      <c r="F9" s="11" t="s">
        <v>84</v>
      </c>
      <c r="G9" s="11" t="s">
        <v>84</v>
      </c>
      <c r="H9" s="11" t="s">
        <v>84</v>
      </c>
      <c r="I9" s="12" t="s">
        <v>234</v>
      </c>
      <c r="J9" s="12" t="s">
        <v>235</v>
      </c>
      <c r="K9" s="12" t="s">
        <v>235</v>
      </c>
      <c r="L9" s="12" t="s">
        <v>235</v>
      </c>
      <c r="M9" s="12" t="s">
        <v>235</v>
      </c>
      <c r="N9" s="12" t="s">
        <v>235</v>
      </c>
      <c r="O9" s="12" t="s">
        <v>235</v>
      </c>
      <c r="P9" s="12" t="s">
        <v>235</v>
      </c>
      <c r="Q9" s="12" t="s">
        <v>235</v>
      </c>
      <c r="R9" s="12" t="s">
        <v>235</v>
      </c>
    </row>
    <row r="10" ht="13.5" customHeight="1" spans="2:18">
      <c r="B10" s="263" t="s">
        <v>117</v>
      </c>
      <c r="C10" s="263"/>
      <c r="D10" s="264"/>
      <c r="I10" s="13"/>
      <c r="J10" s="13"/>
      <c r="K10" s="13"/>
      <c r="L10" s="13"/>
      <c r="M10" s="13"/>
      <c r="N10" s="13"/>
      <c r="O10" s="13"/>
      <c r="P10" s="13"/>
      <c r="Q10" s="13"/>
      <c r="R10" s="13"/>
    </row>
    <row r="11" ht="13.5" customHeight="1" spans="2:18">
      <c r="B11" s="264"/>
      <c r="C11" s="263"/>
      <c r="D11" s="264"/>
      <c r="I11" s="13"/>
      <c r="J11" s="13"/>
      <c r="K11" s="13"/>
      <c r="L11" s="13"/>
      <c r="M11" s="13"/>
      <c r="N11" s="13"/>
      <c r="O11" s="13"/>
      <c r="P11" s="13"/>
      <c r="Q11" s="13"/>
      <c r="R11" s="13"/>
    </row>
    <row r="12" ht="13.5" customHeight="1" spans="2:18">
      <c r="B12" s="278" t="str">
        <f>'Balance Sheet'!B12:C12</f>
        <v>Non-Current Assets</v>
      </c>
      <c r="C12" s="276"/>
      <c r="D12" s="2"/>
      <c r="I12" s="13"/>
      <c r="J12" s="13"/>
      <c r="K12" s="13"/>
      <c r="L12" s="13"/>
      <c r="M12" s="13"/>
      <c r="N12" s="13"/>
      <c r="O12" s="13"/>
      <c r="P12" s="13"/>
      <c r="Q12" s="13"/>
      <c r="R12" s="13"/>
    </row>
    <row r="13" ht="13.5" customHeight="1" spans="2:18">
      <c r="C13" s="213" t="s">
        <v>125</v>
      </c>
      <c r="D13" s="66">
        <f>'BS Input'!D18</f>
        <v>13651</v>
      </c>
      <c r="E13" s="66">
        <f>'BS Input'!E18</f>
        <v>12569</v>
      </c>
      <c r="F13" s="66">
        <f>'BS Input'!F18</f>
        <v>11708</v>
      </c>
      <c r="G13" s="66">
        <f>'BS Input'!G18</f>
        <v>11059</v>
      </c>
      <c r="H13" s="66">
        <f>'BS Input'!H18</f>
        <v>8930</v>
      </c>
      <c r="I13" s="16">
        <f>'Revenue Buildup'!H$15*'BS items '!I14</f>
        <v>15344.304998777</v>
      </c>
      <c r="J13" s="16">
        <f>'Revenue Buildup'!I$15*'BS items '!J14</f>
        <v>16806.4338137798</v>
      </c>
      <c r="K13" s="16">
        <f>'Revenue Buildup'!J$15*'BS items '!K14</f>
        <v>18254.0478636997</v>
      </c>
      <c r="L13" s="16">
        <f>'Revenue Buildup'!K$15*'BS items '!L14</f>
        <v>19661.2820546177</v>
      </c>
      <c r="M13" s="16">
        <f>'Revenue Buildup'!L$15*'BS items '!M14</f>
        <v>21001.1717171306</v>
      </c>
      <c r="N13" s="16">
        <f>'Revenue Buildup'!M$15*'BS items '!N14</f>
        <v>22246.3848799965</v>
      </c>
      <c r="O13" s="16">
        <f>'Revenue Buildup'!N$15*'BS items '!O14</f>
        <v>23370.0089859713</v>
      </c>
      <c r="P13" s="16">
        <f>'Revenue Buildup'!O$15*'BS items '!P14</f>
        <v>24346.3675457451</v>
      </c>
      <c r="Q13" s="16">
        <f>'Revenue Buildup'!P$15*'BS items '!Q14</f>
        <v>25151.8418378821</v>
      </c>
      <c r="R13" s="16">
        <f>'Revenue Buildup'!Q$15*'BS items '!R14</f>
        <v>25765.6726077919</v>
      </c>
    </row>
    <row r="14" ht="13.5" customHeight="1" spans="2:18">
      <c r="C14" s="213"/>
      <c r="D14" s="319">
        <f>D13/'P&amp;L Input'!C$11</f>
        <v>0.112223674583405</v>
      </c>
      <c r="E14" s="319">
        <f>E13/'P&amp;L Input'!D$11</f>
        <v>0.0856391423140079</v>
      </c>
      <c r="F14" s="319">
        <f>F13/'P&amp;L Input'!E$11</f>
        <v>0.076189236675994</v>
      </c>
      <c r="G14" s="319">
        <f>G13/'P&amp;L Input'!F$11</f>
        <v>0.0678507883919259</v>
      </c>
      <c r="H14" s="319">
        <f>H13/'P&amp;L Input'!G$11</f>
        <v>0.0499860061572908</v>
      </c>
      <c r="I14" s="313">
        <f>AVERAGE(D14:H14)</f>
        <v>0.0783777696245248</v>
      </c>
      <c r="J14" s="313">
        <f t="shared" ref="J14:R14" si="0">I14</f>
        <v>0.0783777696245248</v>
      </c>
      <c r="K14" s="313">
        <f t="shared" si="0"/>
        <v>0.0783777696245248</v>
      </c>
      <c r="L14" s="313">
        <f t="shared" si="0"/>
        <v>0.0783777696245248</v>
      </c>
      <c r="M14" s="313">
        <f t="shared" si="0"/>
        <v>0.0783777696245248</v>
      </c>
      <c r="N14" s="313">
        <f t="shared" si="0"/>
        <v>0.0783777696245248</v>
      </c>
      <c r="O14" s="313">
        <f t="shared" si="0"/>
        <v>0.0783777696245248</v>
      </c>
      <c r="P14" s="313">
        <f t="shared" si="0"/>
        <v>0.0783777696245248</v>
      </c>
      <c r="Q14" s="313">
        <f t="shared" si="0"/>
        <v>0.0783777696245248</v>
      </c>
      <c r="R14" s="313">
        <f t="shared" si="0"/>
        <v>0.0783777696245248</v>
      </c>
    </row>
    <row r="15" ht="13.5" customHeight="1" spans="2:18">
      <c r="C15" s="213" t="s">
        <v>127</v>
      </c>
      <c r="D15" s="66">
        <f>'BS Input'!D20</f>
        <v>1460</v>
      </c>
      <c r="E15" s="66">
        <f>'BS Input'!E20</f>
        <v>2798</v>
      </c>
      <c r="F15" s="66">
        <f>'BS Input'!F20</f>
        <v>3105</v>
      </c>
      <c r="G15" s="66">
        <f>'BS Input'!G20</f>
        <v>3511</v>
      </c>
      <c r="H15" s="66">
        <f>'BS Input'!H20</f>
        <v>2776</v>
      </c>
      <c r="I15" s="16">
        <f>'Revenue Buildup'!H$15*'BS items '!I16</f>
        <v>3459.41348161251</v>
      </c>
      <c r="J15" s="16">
        <f>'Revenue Buildup'!I$15*'BS items '!J16</f>
        <v>3789.05422681913</v>
      </c>
      <c r="K15" s="16">
        <f>'Revenue Buildup'!J$15*'BS items '!K16</f>
        <v>4115.42258047634</v>
      </c>
      <c r="L15" s="16">
        <f>'Revenue Buildup'!K$15*'BS items '!L16</f>
        <v>4432.68718986957</v>
      </c>
      <c r="M15" s="16">
        <f>'Revenue Buildup'!L$15*'BS items '!M16</f>
        <v>4734.76880013083</v>
      </c>
      <c r="N15" s="16">
        <f>'Revenue Buildup'!M$15*'BS items '!N16</f>
        <v>5015.50534723694</v>
      </c>
      <c r="O15" s="16">
        <f>'Revenue Buildup'!N$15*'BS items '!O16</f>
        <v>5268.82932514168</v>
      </c>
      <c r="P15" s="16">
        <f>'Revenue Buildup'!O$15*'BS items '!P16</f>
        <v>5488.9519025304</v>
      </c>
      <c r="Q15" s="16">
        <f>'Revenue Buildup'!P$15*'BS items '!Q16</f>
        <v>5670.54817720907</v>
      </c>
      <c r="R15" s="16">
        <f>'Revenue Buildup'!Q$15*'BS items '!R16</f>
        <v>5808.93792122314</v>
      </c>
    </row>
    <row r="16" ht="13.5" customHeight="1" spans="2:18">
      <c r="C16" s="213"/>
      <c r="D16" s="319">
        <f>D15/'P&amp;L Input'!C$11</f>
        <v>0.0120025320410059</v>
      </c>
      <c r="E16" s="319">
        <f>E15/'P&amp;L Input'!D$11</f>
        <v>0.0190642310601157</v>
      </c>
      <c r="F16" s="319">
        <f>F15/'P&amp;L Input'!E$11</f>
        <v>0.0202056354525932</v>
      </c>
      <c r="G16" s="319">
        <f>G15/'P&amp;L Input'!F$11</f>
        <v>0.021541198846555</v>
      </c>
      <c r="H16" s="319">
        <f>H15/'P&amp;L Input'!G$11</f>
        <v>0.0155387629443045</v>
      </c>
      <c r="I16" s="313">
        <f>AVERAGE(D16:H16)</f>
        <v>0.0176704720689149</v>
      </c>
      <c r="J16" s="313">
        <f t="shared" ref="J16:R16" si="1">I16</f>
        <v>0.0176704720689149</v>
      </c>
      <c r="K16" s="313">
        <f t="shared" si="1"/>
        <v>0.0176704720689149</v>
      </c>
      <c r="L16" s="313">
        <f t="shared" si="1"/>
        <v>0.0176704720689149</v>
      </c>
      <c r="M16" s="313">
        <f t="shared" si="1"/>
        <v>0.0176704720689149</v>
      </c>
      <c r="N16" s="313">
        <f t="shared" si="1"/>
        <v>0.0176704720689149</v>
      </c>
      <c r="O16" s="313">
        <f t="shared" si="1"/>
        <v>0.0176704720689149</v>
      </c>
      <c r="P16" s="313">
        <f t="shared" si="1"/>
        <v>0.0176704720689149</v>
      </c>
      <c r="Q16" s="313">
        <f t="shared" si="1"/>
        <v>0.0176704720689149</v>
      </c>
      <c r="R16" s="313">
        <f t="shared" si="1"/>
        <v>0.0176704720689149</v>
      </c>
    </row>
    <row r="17" ht="13.5" customHeight="1" spans="2:18">
      <c r="C17" s="3" t="s">
        <v>128</v>
      </c>
      <c r="D17" s="320">
        <f>'BS Input'!D21</f>
        <v>1212</v>
      </c>
      <c r="E17" s="66">
        <f>'BS Input'!E21</f>
        <v>1245</v>
      </c>
      <c r="F17" s="66">
        <f>'BS Input'!F21</f>
        <v>454</v>
      </c>
      <c r="G17" s="66">
        <f>'BS Input'!G21</f>
        <v>1108</v>
      </c>
      <c r="H17" s="66">
        <f>'BS Input'!H21</f>
        <v>2264</v>
      </c>
      <c r="I17" s="16">
        <f>'Revenue Buildup'!H$15*'BS items '!I18</f>
        <v>1600.32260164823</v>
      </c>
      <c r="J17" s="16">
        <f>'Revenue Buildup'!I$15*'BS items '!J18</f>
        <v>1752.81421266329</v>
      </c>
      <c r="K17" s="16">
        <f>'Revenue Buildup'!J$15*'BS items '!K18</f>
        <v>1903.79201731037</v>
      </c>
      <c r="L17" s="16">
        <f>'Revenue Buildup'!K$15*'BS items '!L18</f>
        <v>2050.55843532132</v>
      </c>
      <c r="M17" s="16">
        <f>'Revenue Buildup'!L$15*'BS items '!M18</f>
        <v>2190.30120704055</v>
      </c>
      <c r="N17" s="16">
        <f>'Revenue Buildup'!M$15*'BS items '!N18</f>
        <v>2320.16976534691</v>
      </c>
      <c r="O17" s="16">
        <f>'Revenue Buildup'!N$15*'BS items '!O18</f>
        <v>2437.35728558269</v>
      </c>
      <c r="P17" s="16">
        <f>'Revenue Buildup'!O$15*'BS items '!P18</f>
        <v>2539.18585785385</v>
      </c>
      <c r="Q17" s="16">
        <f>'Revenue Buildup'!P$15*'BS items '!Q18</f>
        <v>2623.19218559931</v>
      </c>
      <c r="R17" s="16">
        <f>'Revenue Buildup'!Q$15*'BS items '!R18</f>
        <v>2687.21119817447</v>
      </c>
    </row>
    <row r="18" ht="13.5" customHeight="1" spans="2:18">
      <c r="C18" s="213"/>
      <c r="D18" s="319">
        <f>D17/'P&amp;L Input'!C$11</f>
        <v>0.00996374577650628</v>
      </c>
      <c r="E18" s="319">
        <f>E17/'P&amp;L Input'!D$11</f>
        <v>0.00848283333446892</v>
      </c>
      <c r="F18" s="319">
        <f>F17/'P&amp;L Input'!E$11</f>
        <v>0.00295438276826967</v>
      </c>
      <c r="G18" s="319">
        <f>G17/'P&amp;L Input'!F$11</f>
        <v>0.00679796306521873</v>
      </c>
      <c r="H18" s="319">
        <f>H17/'P&amp;L Input'!G$11</f>
        <v>0.0126728239574587</v>
      </c>
      <c r="I18" s="313">
        <f>AVERAGE(D18:H18)</f>
        <v>0.00817434978038446</v>
      </c>
      <c r="J18" s="313">
        <f t="shared" ref="J18:R18" si="2">I18</f>
        <v>0.00817434978038446</v>
      </c>
      <c r="K18" s="313">
        <f t="shared" si="2"/>
        <v>0.00817434978038446</v>
      </c>
      <c r="L18" s="313">
        <f t="shared" si="2"/>
        <v>0.00817434978038446</v>
      </c>
      <c r="M18" s="313">
        <f t="shared" si="2"/>
        <v>0.00817434978038446</v>
      </c>
      <c r="N18" s="313">
        <f t="shared" si="2"/>
        <v>0.00817434978038446</v>
      </c>
      <c r="O18" s="313">
        <f t="shared" si="2"/>
        <v>0.00817434978038446</v>
      </c>
      <c r="P18" s="313">
        <f t="shared" si="2"/>
        <v>0.00817434978038446</v>
      </c>
      <c r="Q18" s="313">
        <f t="shared" si="2"/>
        <v>0.00817434978038446</v>
      </c>
      <c r="R18" s="313">
        <f t="shared" si="2"/>
        <v>0.00817434978038446</v>
      </c>
    </row>
    <row r="19" ht="13.5" customHeight="1" spans="2:18">
      <c r="C19" s="213" t="s">
        <v>129</v>
      </c>
      <c r="D19" s="66">
        <f>'BS Input'!D22</f>
        <v>6098</v>
      </c>
      <c r="E19" s="66">
        <f>'BS Input'!E22</f>
        <v>6453</v>
      </c>
      <c r="F19" s="66">
        <f>'BS Input'!F22</f>
        <v>3045</v>
      </c>
      <c r="G19" s="66">
        <f>'BS Input'!G22</f>
        <v>1622</v>
      </c>
      <c r="H19" s="66">
        <f>'BS Input'!H22</f>
        <v>666</v>
      </c>
      <c r="I19" s="16">
        <f>'Revenue Buildup'!H$15*'BS items '!I20</f>
        <v>4995.88811940175</v>
      </c>
      <c r="J19" s="16">
        <f>'Revenue Buildup'!I$15*'BS items '!J20</f>
        <v>5471.93652801259</v>
      </c>
      <c r="K19" s="16">
        <f>'Revenue Buildup'!J$15*'BS items '!K20</f>
        <v>5943.25913493749</v>
      </c>
      <c r="L19" s="16">
        <f>'Revenue Buildup'!K$15*'BS items '!L20</f>
        <v>6401.43463237339</v>
      </c>
      <c r="M19" s="16">
        <f>'Revenue Buildup'!L$15*'BS items '!M20</f>
        <v>6837.68370633216</v>
      </c>
      <c r="N19" s="16">
        <f>'Revenue Buildup'!M$15*'BS items '!N20</f>
        <v>7243.10745455539</v>
      </c>
      <c r="O19" s="16">
        <f>'Revenue Buildup'!N$15*'BS items '!O20</f>
        <v>7608.94353003486</v>
      </c>
      <c r="P19" s="16">
        <f>'Revenue Buildup'!O$15*'BS items '!P20</f>
        <v>7926.83203195392</v>
      </c>
      <c r="Q19" s="16">
        <f>'Revenue Buildup'!P$15*'BS items '!Q20</f>
        <v>8189.08303953568</v>
      </c>
      <c r="R19" s="16">
        <f>'Revenue Buildup'!Q$15*'BS items '!R20</f>
        <v>8388.93763385976</v>
      </c>
    </row>
    <row r="20" ht="13.5" customHeight="1" spans="2:18">
      <c r="C20" s="213"/>
      <c r="D20" s="319">
        <f>D19/'P&amp;L Input'!C$11</f>
        <v>0.0501311235520918</v>
      </c>
      <c r="E20" s="319">
        <f>E19/'P&amp;L Input'!D$11</f>
        <v>0.0439676494034763</v>
      </c>
      <c r="F20" s="319">
        <f>F19/'P&amp;L Input'!E$11</f>
        <v>0.0198151883907074</v>
      </c>
      <c r="G20" s="319">
        <f>G19/'P&amp;L Input'!F$11</f>
        <v>0.00995153076875882</v>
      </c>
      <c r="H20" s="319">
        <f>H19/'P&amp;L Input'!G$11</f>
        <v>0.003727959697733</v>
      </c>
      <c r="I20" s="313">
        <f>AVERAGE(D20:H20)</f>
        <v>0.0255186903625534</v>
      </c>
      <c r="J20" s="313">
        <f t="shared" ref="J20:R20" si="3">I20</f>
        <v>0.0255186903625534</v>
      </c>
      <c r="K20" s="313">
        <f t="shared" si="3"/>
        <v>0.0255186903625534</v>
      </c>
      <c r="L20" s="313">
        <f t="shared" si="3"/>
        <v>0.0255186903625534</v>
      </c>
      <c r="M20" s="313">
        <f t="shared" si="3"/>
        <v>0.0255186903625534</v>
      </c>
      <c r="N20" s="313">
        <f t="shared" si="3"/>
        <v>0.0255186903625534</v>
      </c>
      <c r="O20" s="313">
        <f t="shared" si="3"/>
        <v>0.0255186903625534</v>
      </c>
      <c r="P20" s="313">
        <f t="shared" si="3"/>
        <v>0.0255186903625534</v>
      </c>
      <c r="Q20" s="313">
        <f t="shared" si="3"/>
        <v>0.0255186903625534</v>
      </c>
      <c r="R20" s="313">
        <f t="shared" si="3"/>
        <v>0.0255186903625534</v>
      </c>
    </row>
    <row r="21" ht="13.5" customHeight="1" spans="2:18">
      <c r="C21" s="213" t="s">
        <v>130</v>
      </c>
      <c r="D21" s="320">
        <f>'BS Input'!D23</f>
        <v>2029</v>
      </c>
      <c r="E21" s="66">
        <f>'BS Input'!E23</f>
        <v>2318</v>
      </c>
      <c r="F21" s="66">
        <f>'BS Input'!F23</f>
        <v>2121</v>
      </c>
      <c r="G21" s="66">
        <f>'BS Input'!G23</f>
        <v>2713</v>
      </c>
      <c r="H21" s="66">
        <f>'BS Input'!H23</f>
        <v>3540</v>
      </c>
      <c r="I21" s="16">
        <f>'Revenue Buildup'!H$15*'BS items '!I22</f>
        <v>3239.53573793879</v>
      </c>
      <c r="J21" s="16">
        <f>'Revenue Buildup'!I$15*'BS items '!J22</f>
        <v>3548.22476295811</v>
      </c>
      <c r="K21" s="16">
        <f>'Revenue Buildup'!J$15*'BS items '!K22</f>
        <v>3853.84938719699</v>
      </c>
      <c r="L21" s="16">
        <f>'Revenue Buildup'!K$15*'BS items '!L22</f>
        <v>4150.94889437515</v>
      </c>
      <c r="M21" s="16">
        <f>'Revenue Buildup'!L$15*'BS items '!M22</f>
        <v>4433.83042253503</v>
      </c>
      <c r="N21" s="16">
        <f>'Revenue Buildup'!M$15*'BS items '!N22</f>
        <v>4696.72356385212</v>
      </c>
      <c r="O21" s="16">
        <f>'Revenue Buildup'!N$15*'BS items '!O22</f>
        <v>4933.94645844427</v>
      </c>
      <c r="P21" s="16">
        <f>'Revenue Buildup'!O$15*'BS items '!P22</f>
        <v>5140.07820880259</v>
      </c>
      <c r="Q21" s="16">
        <f>'Revenue Buildup'!P$15*'BS items '!Q22</f>
        <v>5310.13235954952</v>
      </c>
      <c r="R21" s="16">
        <f>'Revenue Buildup'!Q$15*'BS items '!R22</f>
        <v>5439.72615453259</v>
      </c>
    </row>
    <row r="22" ht="13.5" customHeight="1" spans="2:18">
      <c r="C22" s="213"/>
      <c r="D22" s="319">
        <f>D21/'P&amp;L Input'!C$11</f>
        <v>0.0166802311720555</v>
      </c>
      <c r="E22" s="319">
        <f>E21/'P&amp;L Input'!D$11</f>
        <v>0.0157937410998385</v>
      </c>
      <c r="F22" s="319">
        <f>F21/'P&amp;L Input'!E$11</f>
        <v>0.0138023036376651</v>
      </c>
      <c r="G22" s="319">
        <f>G21/'P&amp;L Input'!F$11</f>
        <v>0.0166451929566231</v>
      </c>
      <c r="H22" s="319">
        <f>H21/'P&amp;L Input'!G$11</f>
        <v>0.0198152812762385</v>
      </c>
      <c r="I22" s="313">
        <f>AVERAGE(D22:H22)</f>
        <v>0.0165473500284841</v>
      </c>
      <c r="J22" s="313">
        <f t="shared" ref="J22:R22" si="4">I22</f>
        <v>0.0165473500284841</v>
      </c>
      <c r="K22" s="313">
        <f t="shared" si="4"/>
        <v>0.0165473500284841</v>
      </c>
      <c r="L22" s="313">
        <f t="shared" si="4"/>
        <v>0.0165473500284841</v>
      </c>
      <c r="M22" s="313">
        <f t="shared" si="4"/>
        <v>0.0165473500284841</v>
      </c>
      <c r="N22" s="313">
        <f t="shared" si="4"/>
        <v>0.0165473500284841</v>
      </c>
      <c r="O22" s="313">
        <f t="shared" si="4"/>
        <v>0.0165473500284841</v>
      </c>
      <c r="P22" s="313">
        <f t="shared" si="4"/>
        <v>0.0165473500284841</v>
      </c>
      <c r="Q22" s="313">
        <f t="shared" si="4"/>
        <v>0.0165473500284841</v>
      </c>
      <c r="R22" s="313">
        <f t="shared" si="4"/>
        <v>0.0165473500284841</v>
      </c>
    </row>
    <row r="23" s="1" customFormat="1" ht="13.5" customHeight="1" spans="2:18">
      <c r="B23" s="1" t="str">
        <f>'Balance Sheet'!B28:C28</f>
        <v>Current Assets</v>
      </c>
      <c r="C23" s="268"/>
      <c r="I23" s="242"/>
      <c r="J23" s="242"/>
      <c r="K23" s="242"/>
      <c r="L23" s="242"/>
      <c r="M23" s="242"/>
      <c r="N23" s="242"/>
      <c r="O23" s="242"/>
      <c r="P23" s="242"/>
      <c r="Q23" s="242"/>
      <c r="R23" s="242"/>
    </row>
    <row r="24" ht="13.5" customHeight="1" spans="2:18">
      <c r="C24" s="213" t="s">
        <v>125</v>
      </c>
      <c r="D24" s="66">
        <f>'BS Input'!D29</f>
        <v>6673</v>
      </c>
      <c r="E24" s="66">
        <f>'BS Input'!E29</f>
        <v>6909</v>
      </c>
      <c r="F24" s="66">
        <f>'BS Input'!F29</f>
        <v>12915</v>
      </c>
      <c r="G24" s="66">
        <f>'BS Input'!G29</f>
        <v>12482</v>
      </c>
      <c r="H24" s="66">
        <f>'BS Input'!H29</f>
        <v>12950</v>
      </c>
      <c r="I24" s="16">
        <f>'Revenue Buildup'!H$15*'BS items '!I25</f>
        <v>13118.6375600212</v>
      </c>
      <c r="J24" s="16">
        <f>'Revenue Buildup'!I$15*'BS items '!J25</f>
        <v>14368.6868774464</v>
      </c>
      <c r="K24" s="16">
        <f>'Revenue Buildup'!J$15*'BS items '!K25</f>
        <v>15606.3267737603</v>
      </c>
      <c r="L24" s="16">
        <f>'Revenue Buildup'!K$15*'BS items '!L25</f>
        <v>16809.4438464588</v>
      </c>
      <c r="M24" s="16">
        <f>'Revenue Buildup'!L$15*'BS items '!M25</f>
        <v>17954.9846092582</v>
      </c>
      <c r="N24" s="16">
        <f>'Revenue Buildup'!M$15*'BS items '!N25</f>
        <v>19019.581550593</v>
      </c>
      <c r="O24" s="16">
        <f>'Revenue Buildup'!N$15*'BS items '!O25</f>
        <v>19980.225737551</v>
      </c>
      <c r="P24" s="16">
        <f>'Revenue Buildup'!O$15*'BS items '!P25</f>
        <v>20814.9650154341</v>
      </c>
      <c r="Q24" s="16">
        <f>'Revenue Buildup'!P$15*'BS items '!Q25</f>
        <v>21503.6065214067</v>
      </c>
      <c r="R24" s="16">
        <f>'Revenue Buildup'!Q$15*'BS items '!R25</f>
        <v>22028.4020982854</v>
      </c>
    </row>
    <row r="25" ht="13.5" customHeight="1" spans="2:18">
      <c r="C25" s="213"/>
      <c r="D25" s="319">
        <f>D24/'P&amp;L Input'!C$11</f>
        <v>0.0548581481572825</v>
      </c>
      <c r="E25" s="319">
        <f>E24/'P&amp;L Input'!D$11</f>
        <v>0.0470746148657396</v>
      </c>
      <c r="F25" s="319">
        <f>F24/'P&amp;L Input'!E$11</f>
        <v>0.0840437300709312</v>
      </c>
      <c r="G25" s="319">
        <f>G24/'P&amp;L Input'!F$11</f>
        <v>0.0765813853610651</v>
      </c>
      <c r="H25" s="319">
        <f>H24/'P&amp;L Input'!G$11</f>
        <v>0.0724881052336972</v>
      </c>
      <c r="I25" s="313">
        <f>AVERAGE(D25:H25)</f>
        <v>0.0670091967377431</v>
      </c>
      <c r="J25" s="313">
        <f t="shared" ref="J25:R25" si="5">I25</f>
        <v>0.0670091967377431</v>
      </c>
      <c r="K25" s="313">
        <f t="shared" si="5"/>
        <v>0.0670091967377431</v>
      </c>
      <c r="L25" s="313">
        <f t="shared" si="5"/>
        <v>0.0670091967377431</v>
      </c>
      <c r="M25" s="313">
        <f t="shared" si="5"/>
        <v>0.0670091967377431</v>
      </c>
      <c r="N25" s="313">
        <f t="shared" si="5"/>
        <v>0.0670091967377431</v>
      </c>
      <c r="O25" s="313">
        <f t="shared" si="5"/>
        <v>0.0670091967377431</v>
      </c>
      <c r="P25" s="313">
        <f t="shared" si="5"/>
        <v>0.0670091967377431</v>
      </c>
      <c r="Q25" s="313">
        <f t="shared" si="5"/>
        <v>0.0670091967377431</v>
      </c>
      <c r="R25" s="313">
        <f t="shared" si="5"/>
        <v>0.0670091967377431</v>
      </c>
    </row>
    <row r="26" ht="13.5" customHeight="1" spans="2:18">
      <c r="C26" s="213" t="s">
        <v>127</v>
      </c>
      <c r="D26" s="66">
        <f>'BS Input'!D33</f>
        <v>8727</v>
      </c>
      <c r="E26" s="66">
        <f>'BS Input'!E33</f>
        <v>11604</v>
      </c>
      <c r="F26" s="66">
        <f>'BS Input'!F33</f>
        <v>12085</v>
      </c>
      <c r="G26" s="66">
        <f>'BS Input'!G33</f>
        <v>13840</v>
      </c>
      <c r="H26" s="66">
        <f>'BS Input'!H33</f>
        <v>15890</v>
      </c>
      <c r="I26" s="16">
        <f>'Revenue Buildup'!H$15*'BS items '!I27</f>
        <v>15791.4420638576</v>
      </c>
      <c r="J26" s="16">
        <f>'Revenue Buildup'!I$15*'BS items '!J27</f>
        <v>17296.1776953412</v>
      </c>
      <c r="K26" s="16">
        <f>'Revenue Buildup'!J$15*'BS items '!K27</f>
        <v>18785.9755976874</v>
      </c>
      <c r="L26" s="16">
        <f>'Revenue Buildup'!K$15*'BS items '!L27</f>
        <v>20234.216961368</v>
      </c>
      <c r="M26" s="16">
        <f>'Revenue Buildup'!L$15*'BS items '!M27</f>
        <v>21613.1513594538</v>
      </c>
      <c r="N26" s="16">
        <f>'Revenue Buildup'!M$15*'BS items '!N27</f>
        <v>22894.650359905</v>
      </c>
      <c r="O26" s="16">
        <f>'Revenue Buildup'!N$15*'BS items '!O27</f>
        <v>24051.0171665129</v>
      </c>
      <c r="P26" s="16">
        <f>'Revenue Buildup'!O$15*'BS items '!P27</f>
        <v>25055.8270703469</v>
      </c>
      <c r="Q26" s="16">
        <f>'Revenue Buildup'!P$15*'BS items '!Q27</f>
        <v>25884.7730942445</v>
      </c>
      <c r="R26" s="16">
        <f>'Revenue Buildup'!Q$15*'BS items '!R27</f>
        <v>26516.4910535015</v>
      </c>
    </row>
    <row r="27" ht="13.5" customHeight="1" spans="2:18">
      <c r="C27" s="213"/>
      <c r="D27" s="319">
        <f>D26/'P&amp;L Input'!C$11</f>
        <v>0.0717439021382593</v>
      </c>
      <c r="E27" s="319">
        <f>E26/'P&amp;L Input'!D$11</f>
        <v>0.0790640947897007</v>
      </c>
      <c r="F27" s="319">
        <f>F26/'P&amp;L Input'!E$11</f>
        <v>0.0786425457148435</v>
      </c>
      <c r="G27" s="319">
        <f>G26/'P&amp;L Input'!F$11</f>
        <v>0.0849131848579667</v>
      </c>
      <c r="H27" s="319">
        <f>H26/'P&amp;L Input'!G$11</f>
        <v>0.0889448642597257</v>
      </c>
      <c r="I27" s="313">
        <f>AVERAGE(D27:H27)</f>
        <v>0.0806617183520992</v>
      </c>
      <c r="J27" s="313">
        <f t="shared" ref="J27:R27" si="6">I27</f>
        <v>0.0806617183520992</v>
      </c>
      <c r="K27" s="313">
        <f t="shared" si="6"/>
        <v>0.0806617183520992</v>
      </c>
      <c r="L27" s="313">
        <f t="shared" si="6"/>
        <v>0.0806617183520992</v>
      </c>
      <c r="M27" s="313">
        <f t="shared" si="6"/>
        <v>0.0806617183520992</v>
      </c>
      <c r="N27" s="313">
        <f t="shared" si="6"/>
        <v>0.0806617183520992</v>
      </c>
      <c r="O27" s="313">
        <f t="shared" si="6"/>
        <v>0.0806617183520992</v>
      </c>
      <c r="P27" s="313">
        <f t="shared" si="6"/>
        <v>0.0806617183520992</v>
      </c>
      <c r="Q27" s="313">
        <f t="shared" si="6"/>
        <v>0.0806617183520992</v>
      </c>
      <c r="R27" s="313">
        <f t="shared" si="6"/>
        <v>0.0806617183520992</v>
      </c>
    </row>
    <row r="28" ht="13.5" customHeight="1" spans="2:18">
      <c r="C28" s="213" t="str">
        <f>'BS Input'!C34</f>
        <v>Income tax assets (net)</v>
      </c>
      <c r="D28" s="66">
        <f>'BS Input'!D34</f>
        <v>54</v>
      </c>
      <c r="E28" s="66">
        <f>'BS Input'!E34</f>
        <v>6</v>
      </c>
      <c r="F28" s="66">
        <f>'BS Input'!F34</f>
        <v>6397</v>
      </c>
      <c r="G28" s="66">
        <f>'BS Input'!G34</f>
        <v>2975</v>
      </c>
      <c r="H28" s="66">
        <f>'BS Input'!H34</f>
        <v>1835</v>
      </c>
      <c r="I28" s="321">
        <f>'Revenue Buildup'!H15*I29</f>
        <v>2765.77745375268</v>
      </c>
      <c r="J28" s="321">
        <f>'Revenue Buildup'!I15*J29</f>
        <v>3029.32297838472</v>
      </c>
      <c r="K28" s="321">
        <f>'Revenue Buildup'!J15*K29</f>
        <v>3290.2522483206</v>
      </c>
      <c r="L28" s="321">
        <f>'Revenue Buildup'!K15*L29</f>
        <v>3543.90313688811</v>
      </c>
      <c r="M28" s="321">
        <f>'Revenue Buildup'!L15*M29</f>
        <v>3785.41532133634</v>
      </c>
      <c r="N28" s="321">
        <f>'Revenue Buildup'!M15*N29</f>
        <v>4009.86227356032</v>
      </c>
      <c r="O28" s="321">
        <f>'Revenue Buildup'!N15*O29</f>
        <v>4212.3930639119</v>
      </c>
      <c r="P28" s="321">
        <f>'Revenue Buildup'!O15*P29</f>
        <v>4388.37956128771</v>
      </c>
      <c r="Q28" s="321">
        <f>'Revenue Buildup'!P15*Q29</f>
        <v>4533.5645427481</v>
      </c>
      <c r="R28" s="321">
        <f>'Revenue Buildup'!Q15*R29</f>
        <v>4644.20619800531</v>
      </c>
    </row>
    <row r="29" ht="13.5" customHeight="1" spans="2:18">
      <c r="C29" s="213"/>
      <c r="D29" s="322">
        <f>D28/'P&amp;L Input'!C$11</f>
        <v>0.000443929267270082</v>
      </c>
      <c r="E29" s="322">
        <f>E28/'P&amp;L Input'!D$11</f>
        <v>4.08811245034647e-5</v>
      </c>
      <c r="F29" s="322">
        <f>F28/'P&amp;L Input'!E$11</f>
        <v>0.041628164248064</v>
      </c>
      <c r="G29" s="322">
        <f>G28/'P&amp;L Input'!F$11</f>
        <v>0.0182526535370268</v>
      </c>
      <c r="H29" s="322">
        <f>H28/'P&amp;L Input'!G$11</f>
        <v>0.0102714805485586</v>
      </c>
      <c r="I29" s="323">
        <f>AVERAGE(D29:H29)</f>
        <v>0.0141274217450846</v>
      </c>
      <c r="J29" s="324">
        <f t="shared" ref="J29:R29" si="7">I29</f>
        <v>0.0141274217450846</v>
      </c>
      <c r="K29" s="324">
        <f t="shared" si="7"/>
        <v>0.0141274217450846</v>
      </c>
      <c r="L29" s="324">
        <f t="shared" si="7"/>
        <v>0.0141274217450846</v>
      </c>
      <c r="M29" s="324">
        <f t="shared" si="7"/>
        <v>0.0141274217450846</v>
      </c>
      <c r="N29" s="324">
        <f t="shared" si="7"/>
        <v>0.0141274217450846</v>
      </c>
      <c r="O29" s="324">
        <f t="shared" si="7"/>
        <v>0.0141274217450846</v>
      </c>
      <c r="P29" s="324">
        <f t="shared" si="7"/>
        <v>0.0141274217450846</v>
      </c>
      <c r="Q29" s="324">
        <f t="shared" si="7"/>
        <v>0.0141274217450846</v>
      </c>
      <c r="R29" s="324">
        <f t="shared" si="7"/>
        <v>0.0141274217450846</v>
      </c>
    </row>
    <row r="30" ht="13.5" customHeight="1" spans="2:18">
      <c r="C30" s="213" t="s">
        <v>135</v>
      </c>
      <c r="D30" s="66">
        <f>'BS Input'!D35</f>
        <v>11313</v>
      </c>
      <c r="E30" s="66">
        <f>'BS Input'!E35</f>
        <v>14476</v>
      </c>
      <c r="F30" s="66">
        <f>'BS Input'!F35</f>
        <v>12808</v>
      </c>
      <c r="G30" s="66">
        <f>'BS Input'!G35</f>
        <v>11940</v>
      </c>
      <c r="H30" s="66">
        <f>'BS Input'!H35</f>
        <v>15145</v>
      </c>
      <c r="I30" s="16">
        <f>'Revenue Buildup'!H$15*'BS items '!I31</f>
        <v>16954.5443511123</v>
      </c>
      <c r="J30" s="16">
        <f>'Revenue Buildup'!I$15*'BS items '!J31</f>
        <v>18570.1097249092</v>
      </c>
      <c r="K30" s="16">
        <f>'Revenue Buildup'!J$15*'BS items '!K31</f>
        <v>20169.6371466215</v>
      </c>
      <c r="L30" s="16">
        <f>'Revenue Buildup'!K$15*'BS items '!L31</f>
        <v>21724.5472259129</v>
      </c>
      <c r="M30" s="16">
        <f>'Revenue Buildup'!L$15*'BS items '!M31</f>
        <v>23205.0456069398</v>
      </c>
      <c r="N30" s="16">
        <f>'Revenue Buildup'!M$15*'BS items '!N31</f>
        <v>24580.9320871735</v>
      </c>
      <c r="O30" s="16">
        <f>'Revenue Buildup'!N$15*'BS items '!O31</f>
        <v>25822.4698916062</v>
      </c>
      <c r="P30" s="16">
        <f>'Revenue Buildup'!O$15*'BS items '!P31</f>
        <v>26901.2880267771</v>
      </c>
      <c r="Q30" s="16">
        <f>'Revenue Buildup'!P$15*'BS items '!Q31</f>
        <v>27791.2892103306</v>
      </c>
      <c r="R30" s="16">
        <f>'Revenue Buildup'!Q$15*'BS items '!R31</f>
        <v>28469.5357006958</v>
      </c>
    </row>
    <row r="31" ht="13.5" customHeight="1" spans="2:18">
      <c r="C31" s="213"/>
      <c r="D31" s="319">
        <f>D30/'P&amp;L Input'!C$11</f>
        <v>0.0930031814930821</v>
      </c>
      <c r="E31" s="319">
        <f>E30/'P&amp;L Input'!D$11</f>
        <v>0.0986325263853591</v>
      </c>
      <c r="F31" s="319">
        <f>F30/'P&amp;L Input'!E$11</f>
        <v>0.0833474328105681</v>
      </c>
      <c r="G31" s="319">
        <f>G30/'P&amp;L Input'!F$11</f>
        <v>0.0732560279771765</v>
      </c>
      <c r="H31" s="319">
        <f>H30/'P&amp;L Input'!G$11</f>
        <v>0.0847746991323818</v>
      </c>
      <c r="I31" s="313">
        <f>AVERAGE(D31:H31)</f>
        <v>0.0866027735597135</v>
      </c>
      <c r="J31" s="313">
        <f t="shared" ref="J31:R31" si="8">I31</f>
        <v>0.0866027735597135</v>
      </c>
      <c r="K31" s="313">
        <f t="shared" si="8"/>
        <v>0.0866027735597135</v>
      </c>
      <c r="L31" s="313">
        <f t="shared" si="8"/>
        <v>0.0866027735597135</v>
      </c>
      <c r="M31" s="313">
        <f t="shared" si="8"/>
        <v>0.0866027735597135</v>
      </c>
      <c r="N31" s="313">
        <f t="shared" si="8"/>
        <v>0.0866027735597135</v>
      </c>
      <c r="O31" s="313">
        <f t="shared" si="8"/>
        <v>0.0866027735597135</v>
      </c>
      <c r="P31" s="313">
        <f t="shared" si="8"/>
        <v>0.0866027735597135</v>
      </c>
      <c r="Q31" s="313">
        <f t="shared" si="8"/>
        <v>0.0866027735597135</v>
      </c>
      <c r="R31" s="313">
        <f t="shared" si="8"/>
        <v>0.0866027735597135</v>
      </c>
    </row>
    <row r="32" ht="13.5" customHeight="1" spans="2:18">
      <c r="C32" s="213"/>
      <c r="I32" s="13"/>
      <c r="J32" s="13"/>
      <c r="K32" s="13"/>
      <c r="L32" s="13"/>
      <c r="M32" s="13"/>
      <c r="N32" s="13"/>
      <c r="O32" s="13"/>
      <c r="P32" s="13"/>
      <c r="Q32" s="13"/>
      <c r="R32" s="13"/>
    </row>
    <row r="33" ht="13.5" customHeight="1" spans="2:18">
      <c r="B33" s="263" t="s">
        <v>293</v>
      </c>
      <c r="C33" s="263"/>
      <c r="I33" s="13"/>
      <c r="J33" s="13"/>
      <c r="K33" s="13"/>
      <c r="L33" s="13"/>
      <c r="M33" s="13"/>
      <c r="N33" s="13"/>
      <c r="O33" s="13"/>
      <c r="P33" s="13"/>
      <c r="Q33" s="13"/>
      <c r="R33" s="13"/>
    </row>
    <row r="34" ht="13.5" customHeight="1" spans="2:18">
      <c r="C34" s="213"/>
      <c r="I34" s="13"/>
      <c r="J34" s="13"/>
      <c r="K34" s="13"/>
      <c r="L34" s="13"/>
      <c r="M34" s="13"/>
      <c r="N34" s="13"/>
      <c r="O34" s="13"/>
      <c r="P34" s="13"/>
      <c r="Q34" s="13"/>
      <c r="R34" s="13"/>
    </row>
    <row r="35" ht="13.5" customHeight="1" spans="2:18">
      <c r="B35" s="265" t="s">
        <v>144</v>
      </c>
      <c r="C35" s="265"/>
      <c r="D35" s="57"/>
      <c r="E35" s="57"/>
      <c r="F35" s="57"/>
      <c r="G35" s="57"/>
      <c r="H35" s="57"/>
      <c r="I35" s="13"/>
      <c r="J35" s="13"/>
      <c r="K35" s="13"/>
      <c r="L35" s="13"/>
      <c r="M35" s="13"/>
      <c r="N35" s="13"/>
      <c r="O35" s="13"/>
      <c r="P35" s="13"/>
      <c r="Q35" s="13"/>
      <c r="R35" s="13"/>
    </row>
    <row r="36" ht="13.5" customHeight="1" spans="2:18">
      <c r="C36" s="325" t="s">
        <v>152</v>
      </c>
      <c r="D36" s="326">
        <f>'BS Input'!D52</f>
        <v>4602</v>
      </c>
      <c r="E36" s="326">
        <f>'BS Input'!E52</f>
        <v>7057</v>
      </c>
      <c r="F36" s="326">
        <f>'BS Input'!F52</f>
        <v>6400</v>
      </c>
      <c r="G36" s="326">
        <f>'BS Input'!G52</f>
        <v>5772</v>
      </c>
      <c r="H36" s="326">
        <f>'BS Input'!H52</f>
        <v>6016</v>
      </c>
      <c r="I36" s="16">
        <f>'Revenue Buildup'!H$15*'BS items '!I37</f>
        <v>7699.83160095518</v>
      </c>
      <c r="J36" s="16">
        <f>'Revenue Buildup'!I$15*'BS items '!J37</f>
        <v>8433.53349591377</v>
      </c>
      <c r="K36" s="16">
        <f>'Revenue Buildup'!J$15*'BS items '!K37</f>
        <v>9159.95182560997</v>
      </c>
      <c r="L36" s="16">
        <f>'Revenue Buildup'!K$15*'BS items '!L37</f>
        <v>9866.10738586754</v>
      </c>
      <c r="M36" s="16">
        <f>'Revenue Buildup'!L$15*'BS items '!M37</f>
        <v>10538.4692012793</v>
      </c>
      <c r="N36" s="16">
        <f>'Revenue Buildup'!M$15*'BS items '!N37</f>
        <v>11163.3219829547</v>
      </c>
      <c r="O36" s="16">
        <f>'Revenue Buildup'!N$15*'BS items '!O37</f>
        <v>11727.1609055692</v>
      </c>
      <c r="P36" s="16">
        <f>'Revenue Buildup'!O$15*'BS items '!P37</f>
        <v>12217.1014074694</v>
      </c>
      <c r="Q36" s="16">
        <f>'Revenue Buildup'!P$15*'BS items '!Q37</f>
        <v>12621.2915228801</v>
      </c>
      <c r="R36" s="16">
        <f>'Revenue Buildup'!Q$15*'BS items '!R37</f>
        <v>12929.3141775502</v>
      </c>
    </row>
    <row r="37" ht="13.5" customHeight="1" spans="2:18">
      <c r="C37" s="327"/>
      <c r="D37" s="319">
        <f>D36/'P&amp;L Input'!C$11</f>
        <v>0.0378326386662392</v>
      </c>
      <c r="E37" s="319">
        <f>E36/'P&amp;L Input'!D$11</f>
        <v>0.048083015936825</v>
      </c>
      <c r="F37" s="319">
        <f>F36/'P&amp;L Input'!E$11</f>
        <v>0.0416476866011583</v>
      </c>
      <c r="G37" s="319">
        <f>G36/'P&amp;L Input'!F$11</f>
        <v>0.0354132155346954</v>
      </c>
      <c r="H37" s="319">
        <f>H36/'P&amp;L Input'!G$11</f>
        <v>0.033674783095438</v>
      </c>
      <c r="I37" s="313">
        <f>AVERAGE(D37:H37)</f>
        <v>0.0393302679668712</v>
      </c>
      <c r="J37" s="313">
        <f t="shared" ref="J37:R37" si="9">I37</f>
        <v>0.0393302679668712</v>
      </c>
      <c r="K37" s="313">
        <f t="shared" si="9"/>
        <v>0.0393302679668712</v>
      </c>
      <c r="L37" s="313">
        <f t="shared" si="9"/>
        <v>0.0393302679668712</v>
      </c>
      <c r="M37" s="313">
        <f t="shared" si="9"/>
        <v>0.0393302679668712</v>
      </c>
      <c r="N37" s="313">
        <f t="shared" si="9"/>
        <v>0.0393302679668712</v>
      </c>
      <c r="O37" s="313">
        <f t="shared" si="9"/>
        <v>0.0393302679668712</v>
      </c>
      <c r="P37" s="313">
        <f t="shared" si="9"/>
        <v>0.0393302679668712</v>
      </c>
      <c r="Q37" s="313">
        <f t="shared" si="9"/>
        <v>0.0393302679668712</v>
      </c>
      <c r="R37" s="313">
        <f t="shared" si="9"/>
        <v>0.0393302679668712</v>
      </c>
    </row>
    <row r="38" ht="13.5" customHeight="1" spans="2:18">
      <c r="C38" s="213" t="s">
        <v>154</v>
      </c>
      <c r="D38" s="66">
        <f>'BS Input'!D53</f>
        <v>2337</v>
      </c>
      <c r="E38" s="66">
        <f>'BS Input'!E53</f>
        <v>2058</v>
      </c>
      <c r="F38" s="66">
        <f>'BS Input'!F53</f>
        <v>2130</v>
      </c>
      <c r="G38" s="66">
        <f>'BS Input'!G53</f>
        <v>2141</v>
      </c>
      <c r="H38" s="66">
        <f>'BS Input'!H53</f>
        <v>2092</v>
      </c>
      <c r="I38" s="16">
        <f>'Revenue Buildup'!H$15*'BS items '!I39</f>
        <v>2816.83846704328</v>
      </c>
      <c r="J38" s="16">
        <f>'Revenue Buildup'!I$15*'BS items '!J39</f>
        <v>3085.24949577352</v>
      </c>
      <c r="K38" s="16">
        <f>'Revenue Buildup'!J$15*'BS items '!K39</f>
        <v>3350.99596924181</v>
      </c>
      <c r="L38" s="16">
        <f>'Revenue Buildup'!K$15*'BS items '!L39</f>
        <v>3609.3296898914</v>
      </c>
      <c r="M38" s="16">
        <f>'Revenue Buildup'!L$15*'BS items '!M39</f>
        <v>3855.30060504597</v>
      </c>
      <c r="N38" s="16">
        <f>'Revenue Buildup'!M$15*'BS items '!N39</f>
        <v>4083.89123441035</v>
      </c>
      <c r="O38" s="16">
        <f>'Revenue Buildup'!N$15*'BS items '!O39</f>
        <v>4290.16109182383</v>
      </c>
      <c r="P38" s="16">
        <f>'Revenue Buildup'!O$15*'BS items '!P39</f>
        <v>4469.39660291522</v>
      </c>
      <c r="Q38" s="16">
        <f>'Revenue Buildup'!P$15*'BS items '!Q39</f>
        <v>4617.26194908026</v>
      </c>
      <c r="R38" s="16">
        <f>'Revenue Buildup'!Q$15*'BS items '!R39</f>
        <v>4729.94623977147</v>
      </c>
    </row>
    <row r="39" ht="13.5" customHeight="1" spans="2:18">
      <c r="C39" s="213"/>
      <c r="D39" s="319">
        <f>D38/'P&amp;L Input'!C$11</f>
        <v>0.0192122721779663</v>
      </c>
      <c r="E39" s="319">
        <f>E38/'P&amp;L Input'!D$11</f>
        <v>0.0140222257046884</v>
      </c>
      <c r="F39" s="319">
        <f>F38/'P&amp;L Input'!E$11</f>
        <v>0.013860870696948</v>
      </c>
      <c r="G39" s="319">
        <f>G38/'P&amp;L Input'!F$11</f>
        <v>0.0131357752009326</v>
      </c>
      <c r="H39" s="319">
        <f>H38/'P&amp;L Input'!G$11</f>
        <v>0.0117100475790652</v>
      </c>
      <c r="I39" s="313">
        <f>AVERAGE(D39:H39)</f>
        <v>0.0143882382719201</v>
      </c>
      <c r="J39" s="313">
        <f t="shared" ref="J39:R39" si="10">I39</f>
        <v>0.0143882382719201</v>
      </c>
      <c r="K39" s="313">
        <f t="shared" si="10"/>
        <v>0.0143882382719201</v>
      </c>
      <c r="L39" s="313">
        <f t="shared" si="10"/>
        <v>0.0143882382719201</v>
      </c>
      <c r="M39" s="313">
        <f t="shared" si="10"/>
        <v>0.0143882382719201</v>
      </c>
      <c r="N39" s="313">
        <f t="shared" si="10"/>
        <v>0.0143882382719201</v>
      </c>
      <c r="O39" s="313">
        <f t="shared" si="10"/>
        <v>0.0143882382719201</v>
      </c>
      <c r="P39" s="313">
        <f t="shared" si="10"/>
        <v>0.0143882382719201</v>
      </c>
      <c r="Q39" s="313">
        <f t="shared" si="10"/>
        <v>0.0143882382719201</v>
      </c>
      <c r="R39" s="313">
        <f t="shared" si="10"/>
        <v>0.0143882382719201</v>
      </c>
    </row>
    <row r="40" ht="13.5" customHeight="1" spans="2:18">
      <c r="C40" s="213" t="str">
        <f>'BS Input'!C54</f>
        <v>Other non current liabilities</v>
      </c>
      <c r="D40" s="66">
        <f>'BS Input'!D54</f>
        <v>451</v>
      </c>
      <c r="E40" s="66">
        <f>'BS Input'!E54</f>
        <v>500</v>
      </c>
      <c r="F40" s="66">
        <f>'BS Input'!F54</f>
        <v>235</v>
      </c>
      <c r="G40" s="66">
        <f>'BS Input'!G54</f>
        <v>215</v>
      </c>
      <c r="H40" s="66">
        <f>'BS Input'!H54</f>
        <v>561</v>
      </c>
      <c r="I40" s="16">
        <f>'Revenue Buildup'!H$15*'BS items '!I41</f>
        <v>513.042978617317</v>
      </c>
      <c r="J40" s="16">
        <f>'Revenue Buildup'!I$15*'BS items '!J41</f>
        <v>561.929840709214</v>
      </c>
      <c r="K40" s="16">
        <f>'Revenue Buildup'!J$15*'BS items '!K41</f>
        <v>610.331395821578</v>
      </c>
      <c r="L40" s="16">
        <f>'Revenue Buildup'!K$15*'BS items '!L41</f>
        <v>657.382834187683</v>
      </c>
      <c r="M40" s="16">
        <f>'Revenue Buildup'!L$15*'BS items '!M41</f>
        <v>702.182581294441</v>
      </c>
      <c r="N40" s="16">
        <f>'Revenue Buildup'!M$15*'BS items '!N41</f>
        <v>743.81678174478</v>
      </c>
      <c r="O40" s="16">
        <f>'Revenue Buildup'!N$15*'BS items '!O41</f>
        <v>781.385603416498</v>
      </c>
      <c r="P40" s="16">
        <f>'Revenue Buildup'!O$15*'BS items '!P41</f>
        <v>814.030542613471</v>
      </c>
      <c r="Q40" s="16">
        <f>'Revenue Buildup'!P$15*'BS items '!Q41</f>
        <v>840.961897931982</v>
      </c>
      <c r="R40" s="16">
        <f>'Revenue Buildup'!Q$15*'BS items '!R41</f>
        <v>861.485575386685</v>
      </c>
    </row>
    <row r="41" ht="13.5" customHeight="1" spans="2:18">
      <c r="C41" s="213"/>
      <c r="D41" s="319">
        <f>D40/'P&amp;L Input'!C$11</f>
        <v>0.00370763147294087</v>
      </c>
      <c r="E41" s="319">
        <f>E40/'P&amp;L Input'!D$11</f>
        <v>0.00340676037528872</v>
      </c>
      <c r="F41" s="319">
        <f>F40/'P&amp;L Input'!E$11</f>
        <v>0.00152925099238628</v>
      </c>
      <c r="G41" s="319">
        <f>G40/'P&amp;L Input'!F$11</f>
        <v>0.00131909933124732</v>
      </c>
      <c r="H41" s="319">
        <f>H40/'P&amp;L Input'!G$11</f>
        <v>0.00314021830394626</v>
      </c>
      <c r="I41" s="313">
        <f>AVERAGE(D41:H41)</f>
        <v>0.00262059209516189</v>
      </c>
      <c r="J41" s="313">
        <f t="shared" ref="J41:R41" si="11">I41</f>
        <v>0.00262059209516189</v>
      </c>
      <c r="K41" s="313">
        <f t="shared" si="11"/>
        <v>0.00262059209516189</v>
      </c>
      <c r="L41" s="313">
        <f t="shared" si="11"/>
        <v>0.00262059209516189</v>
      </c>
      <c r="M41" s="313">
        <f t="shared" si="11"/>
        <v>0.00262059209516189</v>
      </c>
      <c r="N41" s="313">
        <f t="shared" si="11"/>
        <v>0.00262059209516189</v>
      </c>
      <c r="O41" s="313">
        <f t="shared" si="11"/>
        <v>0.00262059209516189</v>
      </c>
      <c r="P41" s="313">
        <f t="shared" si="11"/>
        <v>0.00262059209516189</v>
      </c>
      <c r="Q41" s="313">
        <f t="shared" si="11"/>
        <v>0.00262059209516189</v>
      </c>
      <c r="R41" s="313">
        <f t="shared" si="11"/>
        <v>0.00262059209516189</v>
      </c>
    </row>
    <row r="42" ht="13.5" customHeight="1" spans="2:18">
      <c r="C42" s="213" t="s">
        <v>149</v>
      </c>
      <c r="D42" s="66">
        <f>'BS Input'!D55</f>
        <v>1156</v>
      </c>
      <c r="E42" s="66">
        <f>'BS Input'!E55</f>
        <v>1220</v>
      </c>
      <c r="F42" s="66">
        <f>'BS Input'!F55</f>
        <v>1794</v>
      </c>
      <c r="G42" s="66">
        <f>'BS Input'!G55</f>
        <v>1722</v>
      </c>
      <c r="H42" s="66">
        <f>'BS Input'!H55</f>
        <v>1679</v>
      </c>
      <c r="I42" s="16">
        <f>'Revenue Buildup'!H$15*'BS items '!I43</f>
        <v>1936.34144702493</v>
      </c>
      <c r="J42" s="16">
        <f>'Revenue Buildup'!I$15*'BS items '!J43</f>
        <v>2120.85163667541</v>
      </c>
      <c r="K42" s="16">
        <f>'Revenue Buildup'!J$15*'BS items '!K43</f>
        <v>2303.53016687793</v>
      </c>
      <c r="L42" s="16">
        <f>'Revenue Buildup'!K$15*'BS items '!L43</f>
        <v>2481.11304793785</v>
      </c>
      <c r="M42" s="16">
        <f>'Revenue Buildup'!L$15*'BS items '!M43</f>
        <v>2650.19753160595</v>
      </c>
      <c r="N42" s="16">
        <f>'Revenue Buildup'!M$15*'BS items '!N43</f>
        <v>2807.33451877027</v>
      </c>
      <c r="O42" s="16">
        <f>'Revenue Buildup'!N$15*'BS items '!O43</f>
        <v>2949.12783736298</v>
      </c>
      <c r="P42" s="16">
        <f>'Revenue Buildup'!O$15*'BS items '!P43</f>
        <v>3072.33729824102</v>
      </c>
      <c r="Q42" s="16">
        <f>'Revenue Buildup'!P$15*'BS items '!Q43</f>
        <v>3173.98238783631</v>
      </c>
      <c r="R42" s="16">
        <f>'Revenue Buildup'!Q$15*'BS items '!R43</f>
        <v>3251.44343682681</v>
      </c>
    </row>
    <row r="43" ht="13.5" customHeight="1" spans="2:18">
      <c r="C43" s="213"/>
      <c r="D43" s="319">
        <f>D42/'P&amp;L Input'!C$11</f>
        <v>0.00950337468452249</v>
      </c>
      <c r="E43" s="319">
        <f>E42/'P&amp;L Input'!D$11</f>
        <v>0.00831249531570448</v>
      </c>
      <c r="F43" s="319">
        <f>F42/'P&amp;L Input'!E$11</f>
        <v>0.0116743671503872</v>
      </c>
      <c r="G43" s="319">
        <f>G42/'P&amp;L Input'!F$11</f>
        <v>0.010565065341432</v>
      </c>
      <c r="H43" s="319">
        <f>H42/'P&amp;L Input'!G$11</f>
        <v>0.00939826476350406</v>
      </c>
      <c r="I43" s="313">
        <f>AVERAGE(D43:H43)</f>
        <v>0.00989071345111004</v>
      </c>
      <c r="J43" s="313">
        <f t="shared" ref="J43:R43" si="12">I43</f>
        <v>0.00989071345111004</v>
      </c>
      <c r="K43" s="313">
        <f t="shared" si="12"/>
        <v>0.00989071345111004</v>
      </c>
      <c r="L43" s="313">
        <f t="shared" si="12"/>
        <v>0.00989071345111004</v>
      </c>
      <c r="M43" s="313">
        <f t="shared" si="12"/>
        <v>0.00989071345111004</v>
      </c>
      <c r="N43" s="313">
        <f t="shared" si="12"/>
        <v>0.00989071345111004</v>
      </c>
      <c r="O43" s="313">
        <f t="shared" si="12"/>
        <v>0.00989071345111004</v>
      </c>
      <c r="P43" s="313">
        <f t="shared" si="12"/>
        <v>0.00989071345111004</v>
      </c>
      <c r="Q43" s="313">
        <f t="shared" si="12"/>
        <v>0.00989071345111004</v>
      </c>
      <c r="R43" s="313">
        <f t="shared" si="12"/>
        <v>0.00989071345111004</v>
      </c>
    </row>
    <row r="44" ht="13.5" customHeight="1" spans="2:18">
      <c r="C44" s="213"/>
      <c r="D44" s="319"/>
      <c r="E44" s="319"/>
      <c r="F44" s="319"/>
      <c r="G44" s="319"/>
      <c r="H44" s="319"/>
      <c r="I44" s="16"/>
      <c r="J44" s="16"/>
      <c r="K44" s="16"/>
      <c r="L44" s="16"/>
      <c r="M44" s="16"/>
      <c r="N44" s="16"/>
      <c r="O44" s="16"/>
      <c r="P44" s="16"/>
      <c r="Q44" s="16"/>
      <c r="R44" s="16"/>
    </row>
    <row r="45" ht="13.5" customHeight="1" spans="2:18">
      <c r="B45" s="265" t="s">
        <v>151</v>
      </c>
      <c r="C45" s="265"/>
      <c r="D45" s="57"/>
      <c r="E45" s="57"/>
      <c r="F45" s="57"/>
      <c r="G45" s="57"/>
      <c r="H45" s="57"/>
      <c r="I45" s="13"/>
      <c r="J45" s="13"/>
      <c r="K45" s="13"/>
      <c r="L45" s="13"/>
      <c r="M45" s="13"/>
      <c r="N45" s="13"/>
      <c r="O45" s="13"/>
      <c r="P45" s="13"/>
      <c r="Q45" s="13"/>
      <c r="R45" s="13"/>
    </row>
    <row r="46" ht="13.5" customHeight="1" spans="2:18">
      <c r="C46" s="213" t="s">
        <v>152</v>
      </c>
      <c r="D46" s="326">
        <f>'BS Input'!D61</f>
        <v>872</v>
      </c>
      <c r="E46" s="326">
        <f>'BS Input'!E61</f>
        <v>1242</v>
      </c>
      <c r="F46" s="326">
        <f>'BS Input'!F61</f>
        <v>1959</v>
      </c>
      <c r="G46" s="326">
        <f>'BS Input'!G61</f>
        <v>2455</v>
      </c>
      <c r="H46" s="326">
        <f>'BS Input'!H61</f>
        <v>3160</v>
      </c>
      <c r="I46" s="16">
        <f>'Revenue Buildup'!H$15*'BS items '!I47</f>
        <v>2393.51406586574</v>
      </c>
      <c r="J46" s="16">
        <f>'Revenue Buildup'!I$15*'BS items '!J47</f>
        <v>2621.58734028877</v>
      </c>
      <c r="K46" s="16">
        <f>'Revenue Buildup'!J$15*'BS items '!K47</f>
        <v>2847.39649819488</v>
      </c>
      <c r="L46" s="16">
        <f>'Revenue Buildup'!K$15*'BS items '!L47</f>
        <v>3066.9069178716</v>
      </c>
      <c r="M46" s="16">
        <f>'Revenue Buildup'!L$15*'BS items '!M47</f>
        <v>3275.91245798492</v>
      </c>
      <c r="N46" s="16">
        <f>'Revenue Buildup'!M$15*'BS items '!N47</f>
        <v>3470.14968284184</v>
      </c>
      <c r="O46" s="16">
        <f>'Revenue Buildup'!N$15*'BS items '!O47</f>
        <v>3645.42057993433</v>
      </c>
      <c r="P46" s="16">
        <f>'Revenue Buildup'!O$15*'BS items '!P47</f>
        <v>3797.71994744126</v>
      </c>
      <c r="Q46" s="16">
        <f>'Revenue Buildup'!P$15*'BS items '!Q47</f>
        <v>3923.36356884196</v>
      </c>
      <c r="R46" s="16">
        <f>'Revenue Buildup'!Q$15*'BS items '!R47</f>
        <v>4019.11326763623</v>
      </c>
    </row>
    <row r="47" ht="13.5" customHeight="1" spans="2:18">
      <c r="C47" s="213"/>
      <c r="D47" s="319">
        <f>D46/'P&amp;L Input'!C$11</f>
        <v>0.00716863557517613</v>
      </c>
      <c r="E47" s="319">
        <f>E46/'P&amp;L Input'!D$11</f>
        <v>0.00846239277221719</v>
      </c>
      <c r="F47" s="319">
        <f>F46/'P&amp;L Input'!E$11</f>
        <v>0.0127480965705733</v>
      </c>
      <c r="G47" s="319">
        <f>G46/'P&amp;L Input'!F$11</f>
        <v>0.0150622737591263</v>
      </c>
      <c r="H47" s="319">
        <f>H46/'P&amp;L Input'!G$11</f>
        <v>0.0176882171844388</v>
      </c>
      <c r="I47" s="313">
        <f>AVERAGE(D47:H47)</f>
        <v>0.0122259231723064</v>
      </c>
      <c r="J47" s="313">
        <f t="shared" ref="J47:R47" si="13">I47</f>
        <v>0.0122259231723064</v>
      </c>
      <c r="K47" s="313">
        <f t="shared" si="13"/>
        <v>0.0122259231723064</v>
      </c>
      <c r="L47" s="313">
        <f t="shared" si="13"/>
        <v>0.0122259231723064</v>
      </c>
      <c r="M47" s="313">
        <f t="shared" si="13"/>
        <v>0.0122259231723064</v>
      </c>
      <c r="N47" s="313">
        <f t="shared" si="13"/>
        <v>0.0122259231723064</v>
      </c>
      <c r="O47" s="313">
        <f t="shared" si="13"/>
        <v>0.0122259231723064</v>
      </c>
      <c r="P47" s="313">
        <f t="shared" si="13"/>
        <v>0.0122259231723064</v>
      </c>
      <c r="Q47" s="313">
        <f t="shared" si="13"/>
        <v>0.0122259231723064</v>
      </c>
      <c r="R47" s="313">
        <f t="shared" si="13"/>
        <v>0.0122259231723064</v>
      </c>
    </row>
    <row r="48" ht="13.5" customHeight="1" spans="2:18">
      <c r="C48" s="213" t="s">
        <v>147</v>
      </c>
      <c r="D48" s="326">
        <f>'BS Input'!D63</f>
        <v>15837</v>
      </c>
      <c r="E48" s="326">
        <f>'BS Input'!E63</f>
        <v>18558</v>
      </c>
      <c r="F48" s="326">
        <f>'BS Input'!F63</f>
        <v>16959</v>
      </c>
      <c r="G48" s="326">
        <f>'BS Input'!G63</f>
        <v>18138</v>
      </c>
      <c r="H48" s="326">
        <f>'BS Input'!H63</f>
        <v>21483</v>
      </c>
      <c r="I48" s="16">
        <f>'Revenue Buildup'!H$15*'BS items '!I49</f>
        <v>23435.463578349</v>
      </c>
      <c r="J48" s="16">
        <f>'Revenue Buildup'!I$15*'BS items '!J49</f>
        <v>25668.583070798</v>
      </c>
      <c r="K48" s="16">
        <f>'Revenue Buildup'!J$15*'BS items '!K49</f>
        <v>27879.5340617429</v>
      </c>
      <c r="L48" s="16">
        <f>'Revenue Buildup'!K$15*'BS items '!L49</f>
        <v>30028.8126136286</v>
      </c>
      <c r="M48" s="16">
        <f>'Revenue Buildup'!L$15*'BS items '!M49</f>
        <v>32075.2353996284</v>
      </c>
      <c r="N48" s="16">
        <f>'Revenue Buildup'!M$15*'BS items '!N49</f>
        <v>33977.0581102661</v>
      </c>
      <c r="O48" s="16">
        <f>'Revenue Buildup'!N$15*'BS items '!O49</f>
        <v>35693.1770099768</v>
      </c>
      <c r="P48" s="16">
        <f>'Revenue Buildup'!O$15*'BS items '!P49</f>
        <v>37184.3762183354</v>
      </c>
      <c r="Q48" s="16">
        <f>'Revenue Buildup'!P$15*'BS items '!Q49</f>
        <v>38414.58269808</v>
      </c>
      <c r="R48" s="16">
        <f>'Revenue Buildup'!Q$15*'BS items '!R49</f>
        <v>39352.0906955187</v>
      </c>
    </row>
    <row r="49" ht="13.5" customHeight="1" spans="3:18">
      <c r="C49" s="213"/>
      <c r="D49" s="319">
        <f>D48/'P&amp;L Input'!C$11</f>
        <v>0.130194588995487</v>
      </c>
      <c r="E49" s="319">
        <f>E48/'P&amp;L Input'!D$11</f>
        <v>0.126445318089216</v>
      </c>
      <c r="F49" s="319">
        <f>F48/'P&amp;L Input'!E$11</f>
        <v>0.110359862042038</v>
      </c>
      <c r="G49" s="319">
        <f>G48/'P&amp;L Input'!F$11</f>
        <v>0.11128290079146</v>
      </c>
      <c r="H49" s="319">
        <f>H48/'P&amp;L Input'!G$11</f>
        <v>0.120251889168766</v>
      </c>
      <c r="I49" s="313">
        <f>AVERAGE(D49:H49)</f>
        <v>0.119706911817393</v>
      </c>
      <c r="J49" s="313">
        <f t="shared" ref="J49:R49" si="14">I49</f>
        <v>0.119706911817393</v>
      </c>
      <c r="K49" s="313">
        <f t="shared" si="14"/>
        <v>0.119706911817393</v>
      </c>
      <c r="L49" s="313">
        <f t="shared" si="14"/>
        <v>0.119706911817393</v>
      </c>
      <c r="M49" s="313">
        <f t="shared" si="14"/>
        <v>0.119706911817393</v>
      </c>
      <c r="N49" s="313">
        <f t="shared" si="14"/>
        <v>0.119706911817393</v>
      </c>
      <c r="O49" s="313">
        <f t="shared" si="14"/>
        <v>0.119706911817393</v>
      </c>
      <c r="P49" s="313">
        <f t="shared" si="14"/>
        <v>0.119706911817393</v>
      </c>
      <c r="Q49" s="313">
        <f t="shared" si="14"/>
        <v>0.119706911817393</v>
      </c>
      <c r="R49" s="313">
        <f t="shared" si="14"/>
        <v>0.119706911817393</v>
      </c>
    </row>
    <row r="50" ht="13.5" customHeight="1" spans="3:18">
      <c r="C50" s="220" t="s">
        <v>155</v>
      </c>
      <c r="D50" s="328">
        <f>'BS Input'!D64</f>
        <v>9178</v>
      </c>
      <c r="E50" s="328">
        <f>'BS Input'!E64</f>
        <v>10830</v>
      </c>
      <c r="F50" s="328">
        <f>'BS Input'!F64</f>
        <v>10539</v>
      </c>
      <c r="G50" s="328">
        <f>'BS Input'!G64</f>
        <v>11765</v>
      </c>
      <c r="H50" s="328">
        <f>'BS Input'!H64</f>
        <v>15779</v>
      </c>
      <c r="I50" s="16">
        <f>'Revenue Buildup'!H$15*'BS items '!I51</f>
        <v>14813.4067641266</v>
      </c>
      <c r="J50" s="16">
        <f>'Revenue Buildup'!I$15*'BS items '!J51</f>
        <v>16224.947324609</v>
      </c>
      <c r="K50" s="16">
        <f>'Revenue Buildup'!J$15*'BS items '!K51</f>
        <v>17622.4753169579</v>
      </c>
      <c r="L50" s="16">
        <f>'Revenue Buildup'!K$15*'BS items '!L51</f>
        <v>18981.0205546937</v>
      </c>
      <c r="M50" s="16">
        <f>'Revenue Buildup'!L$15*'BS items '!M51</f>
        <v>20274.5513201102</v>
      </c>
      <c r="N50" s="16">
        <f>'Revenue Buildup'!M$15*'BS items '!N51</f>
        <v>21476.6813019534</v>
      </c>
      <c r="O50" s="16">
        <f>'Revenue Buildup'!N$15*'BS items '!O51</f>
        <v>22561.4290916454</v>
      </c>
      <c r="P50" s="16">
        <f>'Revenue Buildup'!O$15*'BS items '!P51</f>
        <v>23504.0065817774</v>
      </c>
      <c r="Q50" s="16">
        <f>'Revenue Buildup'!P$15*'BS items '!Q51</f>
        <v>24281.61223602</v>
      </c>
      <c r="R50" s="16">
        <f>'Revenue Buildup'!Q$15*'BS items '!R51</f>
        <v>24874.2050500794</v>
      </c>
    </row>
    <row r="51" ht="13.5" customHeight="1" spans="3:18">
      <c r="C51" s="220"/>
      <c r="D51" s="319">
        <f>D50/'P&amp;L Input'!C$11</f>
        <v>0.0754515336112002</v>
      </c>
      <c r="E51" s="319">
        <f>E50/'P&amp;L Input'!D$11</f>
        <v>0.0737904297287537</v>
      </c>
      <c r="F51" s="319">
        <f>F50/'P&amp;L Input'!E$11</f>
        <v>0.0685820264202512</v>
      </c>
      <c r="G51" s="319">
        <f>G50/'P&amp;L Input'!F$11</f>
        <v>0.0721823424749985</v>
      </c>
      <c r="H51" s="319">
        <f>H50/'P&amp;L Input'!G$11</f>
        <v>0.0883235376434369</v>
      </c>
      <c r="I51" s="313">
        <f>AVERAGE(D51:H51)</f>
        <v>0.0756659739757281</v>
      </c>
      <c r="J51" s="313">
        <f t="shared" ref="J51:R51" si="15">I51</f>
        <v>0.0756659739757281</v>
      </c>
      <c r="K51" s="313">
        <f t="shared" si="15"/>
        <v>0.0756659739757281</v>
      </c>
      <c r="L51" s="313">
        <f t="shared" si="15"/>
        <v>0.0756659739757281</v>
      </c>
      <c r="M51" s="313">
        <f t="shared" si="15"/>
        <v>0.0756659739757281</v>
      </c>
      <c r="N51" s="313">
        <f t="shared" si="15"/>
        <v>0.0756659739757281</v>
      </c>
      <c r="O51" s="313">
        <f t="shared" si="15"/>
        <v>0.0756659739757281</v>
      </c>
      <c r="P51" s="313">
        <f t="shared" si="15"/>
        <v>0.0756659739757281</v>
      </c>
      <c r="Q51" s="313">
        <f t="shared" si="15"/>
        <v>0.0756659739757281</v>
      </c>
      <c r="R51" s="313">
        <f t="shared" si="15"/>
        <v>0.0756659739757281</v>
      </c>
    </row>
    <row r="52" ht="13.5" customHeight="1" spans="3:18">
      <c r="C52" s="220" t="s">
        <v>156</v>
      </c>
      <c r="D52" s="328">
        <f>'BS Input'!D65</f>
        <v>975</v>
      </c>
      <c r="E52" s="328">
        <f>'BS Input'!E65</f>
        <v>1307</v>
      </c>
      <c r="F52" s="328">
        <f>'BS Input'!F65</f>
        <v>1796</v>
      </c>
      <c r="G52" s="328">
        <f>'BS Input'!G65</f>
        <v>1475</v>
      </c>
      <c r="H52" s="328">
        <f>'BS Input'!H65</f>
        <v>1512</v>
      </c>
      <c r="I52" s="16">
        <f>'Revenue Buildup'!H$15*'BS items '!I53</f>
        <v>1805.86168993263</v>
      </c>
      <c r="J52" s="16">
        <f>'Revenue Buildup'!I$15*'BS items '!J53</f>
        <v>1977.93871870458</v>
      </c>
      <c r="K52" s="16">
        <f>'Revenue Buildup'!J$15*'BS items '!K53</f>
        <v>2148.30751382219</v>
      </c>
      <c r="L52" s="16">
        <f>'Revenue Buildup'!K$15*'BS items '!L53</f>
        <v>2313.92402850595</v>
      </c>
      <c r="M52" s="16">
        <f>'Revenue Buildup'!L$15*'BS items '!M53</f>
        <v>2471.61480762313</v>
      </c>
      <c r="N52" s="16">
        <f>'Revenue Buildup'!M$15*'BS items '!N53</f>
        <v>2618.16316851655</v>
      </c>
      <c r="O52" s="16">
        <f>'Revenue Buildup'!N$15*'BS items '!O53</f>
        <v>2750.40178910095</v>
      </c>
      <c r="P52" s="16">
        <f>'Revenue Buildup'!O$15*'BS items '!P53</f>
        <v>2865.30881935575</v>
      </c>
      <c r="Q52" s="16">
        <f>'Revenue Buildup'!P$15*'BS items '!Q53</f>
        <v>2960.10458667867</v>
      </c>
      <c r="R52" s="16">
        <f>'Revenue Buildup'!Q$15*'BS items '!R53</f>
        <v>3032.3459473379</v>
      </c>
    </row>
    <row r="53" ht="13.5" customHeight="1" spans="3:18">
      <c r="C53" s="220"/>
      <c r="D53" s="319">
        <f>D52/'P&amp;L Input'!C$11</f>
        <v>0.00801538954793203</v>
      </c>
      <c r="E53" s="319">
        <f>E52/'P&amp;L Input'!D$11</f>
        <v>0.00890527162100472</v>
      </c>
      <c r="F53" s="319">
        <f>F52/'P&amp;L Input'!E$11</f>
        <v>0.0116873820524501</v>
      </c>
      <c r="G53" s="319">
        <f>G52/'P&amp;L Input'!F$11</f>
        <v>0.00904963494692926</v>
      </c>
      <c r="H53" s="319">
        <f>H52/'P&amp;L Input'!G$11</f>
        <v>0.00846347607052897</v>
      </c>
      <c r="I53" s="313">
        <f>AVERAGE(D53:H53)</f>
        <v>0.00922423084776901</v>
      </c>
      <c r="J53" s="313">
        <f t="shared" ref="J53:R53" si="16">I53</f>
        <v>0.00922423084776901</v>
      </c>
      <c r="K53" s="313">
        <f t="shared" si="16"/>
        <v>0.00922423084776901</v>
      </c>
      <c r="L53" s="313">
        <f t="shared" si="16"/>
        <v>0.00922423084776901</v>
      </c>
      <c r="M53" s="313">
        <f t="shared" si="16"/>
        <v>0.00922423084776901</v>
      </c>
      <c r="N53" s="313">
        <f t="shared" si="16"/>
        <v>0.00922423084776901</v>
      </c>
      <c r="O53" s="313">
        <f t="shared" si="16"/>
        <v>0.00922423084776901</v>
      </c>
      <c r="P53" s="313">
        <f t="shared" si="16"/>
        <v>0.00922423084776901</v>
      </c>
      <c r="Q53" s="313">
        <f t="shared" si="16"/>
        <v>0.00922423084776901</v>
      </c>
      <c r="R53" s="313">
        <f t="shared" si="16"/>
        <v>0.00922423084776901</v>
      </c>
    </row>
    <row r="54" ht="13.5" customHeight="1" spans="3:18">
      <c r="C54" s="220" t="s">
        <v>232</v>
      </c>
      <c r="D54" s="328">
        <f>'BS Input'!D66</f>
        <v>2607</v>
      </c>
      <c r="E54" s="328">
        <f>'BS Input'!E66</f>
        <v>3384</v>
      </c>
      <c r="F54" s="328">
        <f>'BS Input'!F66</f>
        <v>3585</v>
      </c>
      <c r="G54" s="328">
        <f>'BS Input'!G66</f>
        <v>4853</v>
      </c>
      <c r="H54" s="328">
        <f>'BS Input'!H66</f>
        <v>5644</v>
      </c>
      <c r="I54" s="16">
        <f>'Revenue Buildup'!H$15*'BS items '!I55</f>
        <v>5058.22109044131</v>
      </c>
      <c r="J54" s="16">
        <f>'Revenue Buildup'!I$15*'BS items '!J55</f>
        <v>5540.20908596006</v>
      </c>
      <c r="K54" s="16">
        <f>'Revenue Buildup'!J$15*'BS items '!K55</f>
        <v>6017.41231665106</v>
      </c>
      <c r="L54" s="16">
        <f>'Revenue Buildup'!K$15*'BS items '!L55</f>
        <v>6481.30440327593</v>
      </c>
      <c r="M54" s="16">
        <f>'Revenue Buildup'!L$15*'BS items '!M55</f>
        <v>6922.99649362003</v>
      </c>
      <c r="N54" s="16">
        <f>'Revenue Buildup'!M$15*'BS items '!N55</f>
        <v>7333.47865511287</v>
      </c>
      <c r="O54" s="16">
        <f>'Revenue Buildup'!N$15*'BS items '!O55</f>
        <v>7703.8792142143</v>
      </c>
      <c r="P54" s="16">
        <f>'Revenue Buildup'!O$15*'BS items '!P55</f>
        <v>8025.73396483836</v>
      </c>
      <c r="Q54" s="16">
        <f>'Revenue Buildup'!P$15*'BS items '!Q55</f>
        <v>8291.25704018264</v>
      </c>
      <c r="R54" s="16">
        <f>'Revenue Buildup'!Q$15*'BS items '!R55</f>
        <v>8493.60519127629</v>
      </c>
    </row>
    <row r="55" ht="13.5" customHeight="1" spans="3:18">
      <c r="C55" s="329"/>
      <c r="D55" s="319">
        <f>D54/'P&amp;L Input'!C$11</f>
        <v>0.0214319185143167</v>
      </c>
      <c r="E55" s="319">
        <f>E54/'P&amp;L Input'!D$11</f>
        <v>0.0230569542199541</v>
      </c>
      <c r="F55" s="319">
        <f>F54/'P&amp;L Input'!E$11</f>
        <v>0.0233292119476801</v>
      </c>
      <c r="G55" s="319">
        <f>G54/'P&amp;L Input'!F$11</f>
        <v>0.0297748328118289</v>
      </c>
      <c r="H55" s="319">
        <f>H54/'P&amp;L Input'!G$11</f>
        <v>0.0315924993003079</v>
      </c>
      <c r="I55" s="313">
        <f>AVERAGE(D55:H55)</f>
        <v>0.0258370833588175</v>
      </c>
      <c r="J55" s="313">
        <f t="shared" ref="J55:R55" si="17">I55</f>
        <v>0.0258370833588175</v>
      </c>
      <c r="K55" s="313">
        <f t="shared" si="17"/>
        <v>0.0258370833588175</v>
      </c>
      <c r="L55" s="313">
        <f t="shared" si="17"/>
        <v>0.0258370833588175</v>
      </c>
      <c r="M55" s="313">
        <f t="shared" si="17"/>
        <v>0.0258370833588175</v>
      </c>
      <c r="N55" s="313">
        <f t="shared" si="17"/>
        <v>0.0258370833588175</v>
      </c>
      <c r="O55" s="313">
        <f t="shared" si="17"/>
        <v>0.0258370833588175</v>
      </c>
      <c r="P55" s="313">
        <f t="shared" si="17"/>
        <v>0.0258370833588175</v>
      </c>
      <c r="Q55" s="313">
        <f t="shared" si="17"/>
        <v>0.0258370833588175</v>
      </c>
      <c r="R55" s="313">
        <f t="shared" si="17"/>
        <v>0.0258370833588175</v>
      </c>
    </row>
  </sheetData>
  <mergeCells count="9">
    <mergeCell ref="B6:E6"/>
    <mergeCell ref="Q6:R6"/>
    <mergeCell ref="B7:R7"/>
    <mergeCell ref="B10:C10"/>
    <mergeCell ref="B33:C33"/>
    <mergeCell ref="B35:C35"/>
    <mergeCell ref="B45:C45"/>
    <mergeCell ref="B2:D4"/>
    <mergeCell ref="B8:C9"/>
  </mergeCells>
  <pageMargins left="0.7" right="0.7" top="0.75" bottom="0.75" header="0.511811023622047" footer="0.511811023622047"/>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AC090"/>
  </sheetPr>
  <dimension ref="B2:Q25"/>
  <sheetViews>
    <sheetView showGridLines="0" zoomScale="75" zoomScaleNormal="75" workbookViewId="0">
      <selection activeCell="J14" sqref="J14"/>
    </sheetView>
  </sheetViews>
  <sheetFormatPr defaultColWidth="8.83333333333333" defaultRowHeight="13.8"/>
  <cols>
    <col min="1" max="1" width="6.33333333333333" style="3" customWidth="1"/>
    <col min="2" max="2" width="40.4444444444444" style="3" customWidth="1"/>
    <col min="3" max="3" width="15.1666666666667" style="3" customWidth="1"/>
    <col min="4" max="11" width="11.3333333333333" style="3" customWidth="1"/>
    <col min="12" max="15" width="12.1666666666667" style="3" customWidth="1"/>
    <col min="16" max="17" width="13.1666666666667" style="3" customWidth="1"/>
    <col min="18" max="16384" width="8.83333333333333" style="3"/>
  </cols>
  <sheetData>
    <row r="2" ht="13.5" customHeight="1" spans="2:17">
      <c r="B2" s="173" t="s">
        <v>21</v>
      </c>
      <c r="C2" s="173"/>
      <c r="D2" s="173"/>
    </row>
    <row r="3" ht="13.5" customHeight="1" spans="2:17">
      <c r="B3" s="173"/>
      <c r="C3" s="173"/>
      <c r="D3" s="173"/>
    </row>
    <row r="4" ht="13.5" customHeight="1" spans="2:17">
      <c r="B4" s="173"/>
      <c r="C4" s="173"/>
      <c r="D4" s="173"/>
    </row>
    <row r="6" ht="14.25" customHeight="1" spans="2:17">
      <c r="P6" s="5" t="s">
        <v>83</v>
      </c>
      <c r="Q6" s="5"/>
    </row>
    <row r="7" ht="15" customHeight="1" spans="2:17">
      <c r="B7" s="261" t="s">
        <v>11</v>
      </c>
      <c r="C7" s="261"/>
      <c r="D7" s="261"/>
      <c r="E7" s="261"/>
      <c r="F7" s="261"/>
      <c r="G7" s="261"/>
      <c r="H7" s="261"/>
      <c r="I7" s="261"/>
      <c r="J7" s="261"/>
      <c r="K7" s="261"/>
      <c r="L7" s="261"/>
      <c r="M7" s="261"/>
      <c r="N7" s="261"/>
      <c r="O7" s="261"/>
      <c r="P7" s="261"/>
      <c r="Q7" s="261"/>
    </row>
    <row r="8" ht="14.25" customHeight="1" spans="2:17">
      <c r="B8" s="311" t="s">
        <v>39</v>
      </c>
      <c r="C8" s="9">
        <f>'BS items '!D8</f>
        <v>2022</v>
      </c>
      <c r="D8" s="9">
        <f>'BS items '!E8</f>
        <v>2023</v>
      </c>
      <c r="E8" s="9">
        <f>'BS items '!F8</f>
        <v>2024</v>
      </c>
      <c r="F8" s="9">
        <f>'BS items '!G8</f>
        <v>2025</v>
      </c>
      <c r="G8" s="9">
        <f>'BS items '!H8</f>
        <v>2026</v>
      </c>
      <c r="H8" s="9">
        <f>'BS items '!I8</f>
        <v>2027</v>
      </c>
      <c r="I8" s="9">
        <f>'BS items '!J8</f>
        <v>2028</v>
      </c>
      <c r="J8" s="9">
        <f>'BS items '!K8</f>
        <v>2029</v>
      </c>
      <c r="K8" s="9">
        <f>'BS items '!L8</f>
        <v>2030</v>
      </c>
      <c r="L8" s="9">
        <f>'BS items '!M8</f>
        <v>2031</v>
      </c>
      <c r="M8" s="9">
        <f>'BS items '!N8</f>
        <v>2032</v>
      </c>
      <c r="N8" s="9">
        <f>'BS items '!O8</f>
        <v>2033</v>
      </c>
      <c r="O8" s="9">
        <f>'BS items '!P8</f>
        <v>2034</v>
      </c>
      <c r="P8" s="9">
        <f>'BS items '!Q8</f>
        <v>2035</v>
      </c>
      <c r="Q8" s="9">
        <f>'BS items '!R8</f>
        <v>2036</v>
      </c>
    </row>
    <row r="9" ht="13.5" customHeight="1" spans="2:17">
      <c r="B9" s="311"/>
      <c r="C9" s="11" t="s">
        <v>84</v>
      </c>
      <c r="D9" s="11" t="s">
        <v>84</v>
      </c>
      <c r="E9" s="11" t="s">
        <v>84</v>
      </c>
      <c r="F9" s="11" t="s">
        <v>84</v>
      </c>
      <c r="G9" s="11" t="s">
        <v>84</v>
      </c>
      <c r="H9" s="12" t="s">
        <v>234</v>
      </c>
      <c r="I9" s="12" t="s">
        <v>235</v>
      </c>
      <c r="J9" s="12" t="s">
        <v>235</v>
      </c>
      <c r="K9" s="12" t="s">
        <v>235</v>
      </c>
      <c r="L9" s="12" t="s">
        <v>235</v>
      </c>
      <c r="M9" s="12" t="s">
        <v>235</v>
      </c>
      <c r="N9" s="12" t="s">
        <v>235</v>
      </c>
      <c r="O9" s="12" t="s">
        <v>235</v>
      </c>
      <c r="P9" s="12" t="s">
        <v>235</v>
      </c>
      <c r="Q9" s="12" t="s">
        <v>235</v>
      </c>
    </row>
    <row r="10" ht="13.5" customHeight="1" spans="2:17">
      <c r="B10" s="213"/>
      <c r="H10" s="13"/>
      <c r="I10" s="13"/>
      <c r="J10" s="13"/>
      <c r="K10" s="13"/>
      <c r="L10" s="13"/>
      <c r="M10" s="13"/>
      <c r="N10" s="13"/>
      <c r="O10" s="13"/>
      <c r="P10" s="13"/>
      <c r="Q10" s="13"/>
    </row>
    <row r="11" ht="13.5" customHeight="1" spans="2:17">
      <c r="B11" s="213" t="s">
        <v>133</v>
      </c>
      <c r="C11" s="66">
        <f>'BS Input'!D30</f>
        <v>22698</v>
      </c>
      <c r="D11" s="66">
        <f>'BS Input'!E30</f>
        <v>25424</v>
      </c>
      <c r="E11" s="66">
        <f>'BS Input'!F30</f>
        <v>30193</v>
      </c>
      <c r="F11" s="66">
        <f>'BS Input'!G30</f>
        <v>31158</v>
      </c>
      <c r="G11" s="66">
        <f>'BS Input'!H30</f>
        <v>35234</v>
      </c>
      <c r="H11" s="16">
        <f>H12*'Revenue Buildup'!H15</f>
        <v>36158.3735097701</v>
      </c>
      <c r="I11" s="16">
        <f>I12*'Revenue Buildup'!I15</f>
        <v>39603.8342078259</v>
      </c>
      <c r="J11" s="16">
        <f>J12*'Revenue Buildup'!J15</f>
        <v>43015.0913171684</v>
      </c>
      <c r="K11" s="16">
        <f>K12*'Revenue Buildup'!K15</f>
        <v>46331.194555144</v>
      </c>
      <c r="L11" s="16">
        <f>L12*'Revenue Buildup'!L15</f>
        <v>49488.6025239561</v>
      </c>
      <c r="M11" s="16">
        <f>M12*'Revenue Buildup'!M15</f>
        <v>52422.9082905435</v>
      </c>
      <c r="N11" s="16">
        <f>N12*'Revenue Buildup'!N15</f>
        <v>55070.6932577776</v>
      </c>
      <c r="O11" s="16">
        <f>O12*'Revenue Buildup'!O15</f>
        <v>57371.4515838522</v>
      </c>
      <c r="P11" s="16">
        <f>P12*'Revenue Buildup'!P15</f>
        <v>59269.5264924212</v>
      </c>
      <c r="Q11" s="16">
        <f>Q12*'Revenue Buildup'!Q15</f>
        <v>60715.9994510829</v>
      </c>
    </row>
    <row r="12" ht="13.5" customHeight="1" spans="2:17">
      <c r="B12" s="213"/>
      <c r="C12" s="312">
        <f>C11/'P&amp;L Input'!C14</f>
        <v>0.183142912470953</v>
      </c>
      <c r="D12" s="312">
        <f>D11/'P&amp;L Input'!D14</f>
        <v>0.170096609307678</v>
      </c>
      <c r="E12" s="312">
        <f>E11/'P&amp;L Input'!E14</f>
        <v>0.190635240338172</v>
      </c>
      <c r="F12" s="312">
        <f>F11/'P&amp;L Input'!F14</f>
        <v>0.187034035656402</v>
      </c>
      <c r="G12" s="312">
        <f>G11/'P&amp;L Input'!G14</f>
        <v>0.192564982620292</v>
      </c>
      <c r="H12" s="313">
        <f>AVERAGE(C12:G12)</f>
        <v>0.184694756078699</v>
      </c>
      <c r="I12" s="313">
        <f t="shared" ref="I12:Q12" si="0">H12</f>
        <v>0.184694756078699</v>
      </c>
      <c r="J12" s="313">
        <f t="shared" si="0"/>
        <v>0.184694756078699</v>
      </c>
      <c r="K12" s="313">
        <f t="shared" si="0"/>
        <v>0.184694756078699</v>
      </c>
      <c r="L12" s="313">
        <f t="shared" si="0"/>
        <v>0.184694756078699</v>
      </c>
      <c r="M12" s="313">
        <f t="shared" si="0"/>
        <v>0.184694756078699</v>
      </c>
      <c r="N12" s="313">
        <f t="shared" si="0"/>
        <v>0.184694756078699</v>
      </c>
      <c r="O12" s="313">
        <f t="shared" si="0"/>
        <v>0.184694756078699</v>
      </c>
      <c r="P12" s="313">
        <f t="shared" si="0"/>
        <v>0.184694756078699</v>
      </c>
      <c r="Q12" s="313">
        <f t="shared" si="0"/>
        <v>0.184694756078699</v>
      </c>
    </row>
    <row r="13" ht="13.5" customHeight="1" spans="2:17">
      <c r="B13" s="213" t="s">
        <v>153</v>
      </c>
      <c r="C13" s="66">
        <f>'BS Input'!D62</f>
        <v>4134</v>
      </c>
      <c r="D13" s="66">
        <f>'BS Input'!E62</f>
        <v>3865</v>
      </c>
      <c r="E13" s="66">
        <f>'BS Input'!F62</f>
        <v>3956</v>
      </c>
      <c r="F13" s="66">
        <f>'BS Input'!G62</f>
        <v>4164</v>
      </c>
      <c r="G13" s="66">
        <f>'BS Input'!H62</f>
        <v>4744</v>
      </c>
      <c r="H13" s="16">
        <f>H14*'Revenue Buildup'!H15</f>
        <v>5290.3927223546</v>
      </c>
      <c r="I13" s="16">
        <f>I14*'Revenue Buildup'!I15</f>
        <v>5794.50389862828</v>
      </c>
      <c r="J13" s="16">
        <f>J14*'Revenue Buildup'!J15</f>
        <v>6293.61069004603</v>
      </c>
      <c r="K13" s="16">
        <f>K14*'Revenue Buildup'!K15</f>
        <v>6778.7953577696</v>
      </c>
      <c r="L13" s="16">
        <f>L14*'Revenue Buildup'!L15</f>
        <v>7240.76105252616</v>
      </c>
      <c r="M13" s="16">
        <f>M14*'Revenue Buildup'!M15</f>
        <v>7670.08428711587</v>
      </c>
      <c r="N13" s="16">
        <f>N14*'Revenue Buildup'!N15</f>
        <v>8057.4861794391</v>
      </c>
      <c r="O13" s="16">
        <f>O14*'Revenue Buildup'!O15</f>
        <v>8394.11401754893</v>
      </c>
      <c r="P13" s="16">
        <f>P14*'Revenue Buildup'!P15</f>
        <v>8671.82456445902</v>
      </c>
      <c r="Q13" s="16">
        <f>Q14*'Revenue Buildup'!Q15</f>
        <v>8883.46046703961</v>
      </c>
    </row>
    <row r="14" ht="13.5" customHeight="1" spans="2:17">
      <c r="B14" s="213"/>
      <c r="C14" s="95">
        <f>C13/'P&amp;L Input'!C14</f>
        <v>0.0333559256390395</v>
      </c>
      <c r="D14" s="95">
        <f>D13/'P&amp;L Input'!D14</f>
        <v>0.0258583777129553</v>
      </c>
      <c r="E14" s="95">
        <f>E13/'P&amp;L Input'!E14</f>
        <v>0.0249777435424704</v>
      </c>
      <c r="F14" s="95">
        <f>F13/'P&amp;L Input'!F14</f>
        <v>0.0249954979290474</v>
      </c>
      <c r="G14" s="95">
        <f>G13/'P&amp;L Input'!G14</f>
        <v>0.0259274643114794</v>
      </c>
      <c r="H14" s="313">
        <f>AVERAGE(C14:G14)</f>
        <v>0.0270230018269984</v>
      </c>
      <c r="I14" s="313">
        <f t="shared" ref="I14:Q14" si="1">H14</f>
        <v>0.0270230018269984</v>
      </c>
      <c r="J14" s="313">
        <f t="shared" si="1"/>
        <v>0.0270230018269984</v>
      </c>
      <c r="K14" s="313">
        <f t="shared" si="1"/>
        <v>0.0270230018269984</v>
      </c>
      <c r="L14" s="313">
        <f t="shared" si="1"/>
        <v>0.0270230018269984</v>
      </c>
      <c r="M14" s="313">
        <f t="shared" si="1"/>
        <v>0.0270230018269984</v>
      </c>
      <c r="N14" s="313">
        <f t="shared" si="1"/>
        <v>0.0270230018269984</v>
      </c>
      <c r="O14" s="313">
        <f t="shared" si="1"/>
        <v>0.0270230018269984</v>
      </c>
      <c r="P14" s="313">
        <f t="shared" si="1"/>
        <v>0.0270230018269984</v>
      </c>
      <c r="Q14" s="313">
        <f t="shared" si="1"/>
        <v>0.0270230018269984</v>
      </c>
    </row>
    <row r="15" ht="13.5" customHeight="1" spans="2:17">
      <c r="B15" s="213" t="s">
        <v>294</v>
      </c>
      <c r="C15" s="314">
        <f>'Balance Sheet'!D66</f>
        <v>975</v>
      </c>
      <c r="D15" s="314">
        <f>'Balance Sheet'!E66</f>
        <v>1307</v>
      </c>
      <c r="E15" s="314">
        <f>'Balance Sheet'!F66</f>
        <v>1796</v>
      </c>
      <c r="F15" s="314">
        <f>'Balance Sheet'!G66</f>
        <v>1475</v>
      </c>
      <c r="G15" s="314">
        <f>'Balance Sheet'!H66</f>
        <v>1512</v>
      </c>
      <c r="H15" s="314">
        <f>'Balance Sheet'!I66</f>
        <v>1805.86168993263</v>
      </c>
      <c r="I15" s="314">
        <f>'Balance Sheet'!J66</f>
        <v>1977.93871870458</v>
      </c>
      <c r="J15" s="314">
        <f>'Balance Sheet'!K66</f>
        <v>2148.30751382219</v>
      </c>
      <c r="K15" s="314">
        <f>'Balance Sheet'!L66</f>
        <v>2313.92402850595</v>
      </c>
      <c r="L15" s="314">
        <f>'Balance Sheet'!M66</f>
        <v>2471.61480762313</v>
      </c>
      <c r="M15" s="314">
        <f>'Balance Sheet'!N66</f>
        <v>2618.16316851655</v>
      </c>
      <c r="N15" s="314">
        <f>'Balance Sheet'!O66</f>
        <v>2750.40178910095</v>
      </c>
      <c r="O15" s="314">
        <f>'Balance Sheet'!P66</f>
        <v>2865.30881935575</v>
      </c>
      <c r="P15" s="314">
        <f>'Balance Sheet'!Q66</f>
        <v>2960.10458667867</v>
      </c>
      <c r="Q15" s="314">
        <f>'Balance Sheet'!R66</f>
        <v>3032.3459473379</v>
      </c>
    </row>
    <row r="16" ht="13.5" customHeight="1" spans="2:17">
      <c r="B16" s="213"/>
      <c r="I16" s="315"/>
      <c r="J16" s="315"/>
      <c r="K16" s="315"/>
      <c r="L16" s="315"/>
      <c r="M16" s="315"/>
      <c r="N16" s="315"/>
      <c r="O16" s="315"/>
      <c r="P16" s="315"/>
      <c r="Q16" s="315"/>
    </row>
    <row r="17" ht="13.5" customHeight="1" spans="2:17">
      <c r="B17" s="213" t="s">
        <v>295</v>
      </c>
      <c r="C17" s="314">
        <f>'Balance Sheet'!D55+'Balance Sheet'!D65+'Balance Sheet'!D54+'Balance Sheet'!D64</f>
        <v>27803</v>
      </c>
      <c r="D17" s="314">
        <f>'Balance Sheet'!E55+'Balance Sheet'!E65+'Balance Sheet'!E54+'Balance Sheet'!E64</f>
        <v>31946</v>
      </c>
      <c r="E17" s="314">
        <f>'Balance Sheet'!F55+'Balance Sheet'!F65+'Balance Sheet'!F54+'Balance Sheet'!F64</f>
        <v>29863</v>
      </c>
      <c r="F17" s="314">
        <f>'Balance Sheet'!G55+'Balance Sheet'!G65+'Balance Sheet'!G54+'Balance Sheet'!G64</f>
        <v>32259</v>
      </c>
      <c r="G17" s="314">
        <f>'Balance Sheet'!H55+'Balance Sheet'!H65+'Balance Sheet'!H54+'Balance Sheet'!H64</f>
        <v>39915</v>
      </c>
      <c r="H17" s="314">
        <f>'Balance Sheet'!I55+'Balance Sheet'!I65+'Balance Sheet'!I54+'Balance Sheet'!I64</f>
        <v>41578.7517881363</v>
      </c>
      <c r="I17" s="314">
        <f>'Balance Sheet'!J55+'Balance Sheet'!J65+'Balance Sheet'!J54+'Balance Sheet'!J64</f>
        <v>45540.7097318898</v>
      </c>
      <c r="J17" s="314">
        <f>'Balance Sheet'!K55+'Balance Sheet'!K65+'Balance Sheet'!K54+'Balance Sheet'!K64</f>
        <v>49463.3367437642</v>
      </c>
      <c r="K17" s="314">
        <f>'Balance Sheet'!L55+'Balance Sheet'!L65+'Balance Sheet'!L54+'Balance Sheet'!L64</f>
        <v>53276.5456924014</v>
      </c>
      <c r="L17" s="314">
        <f>'Balance Sheet'!M55+'Balance Sheet'!M65+'Balance Sheet'!M54+'Balance Sheet'!M64</f>
        <v>56907.269906079</v>
      </c>
      <c r="M17" s="314">
        <f>'Balance Sheet'!N55+'Balance Sheet'!N65+'Balance Sheet'!N54+'Balance Sheet'!N64</f>
        <v>60281.4474283746</v>
      </c>
      <c r="N17" s="314">
        <f>'Balance Sheet'!O55+'Balance Sheet'!O65+'Balance Sheet'!O54+'Balance Sheet'!O64</f>
        <v>63326.1527968625</v>
      </c>
      <c r="O17" s="314">
        <f>'Balance Sheet'!P55+'Balance Sheet'!P65+'Balance Sheet'!P54+'Balance Sheet'!P64</f>
        <v>65971.8099456414</v>
      </c>
      <c r="P17" s="314">
        <f>'Balance Sheet'!Q55+'Balance Sheet'!Q65+'Balance Sheet'!Q54+'Balance Sheet'!Q64</f>
        <v>68154.4187811123</v>
      </c>
      <c r="Q17" s="314">
        <f>'Balance Sheet'!R55+'Balance Sheet'!R65+'Balance Sheet'!R54+'Balance Sheet'!R64</f>
        <v>69817.7275607562</v>
      </c>
    </row>
    <row r="18" ht="13.5" customHeight="1" spans="2:17">
      <c r="B18" s="213"/>
      <c r="C18" s="95"/>
      <c r="D18" s="95"/>
      <c r="E18" s="95"/>
      <c r="F18" s="95"/>
      <c r="G18" s="95"/>
      <c r="H18" s="315"/>
      <c r="I18" s="315"/>
      <c r="J18" s="315"/>
      <c r="K18" s="315"/>
      <c r="L18" s="315"/>
      <c r="M18" s="315"/>
      <c r="N18" s="315"/>
      <c r="O18" s="315"/>
      <c r="P18" s="315"/>
      <c r="Q18" s="315"/>
    </row>
    <row r="19" ht="13.5" customHeight="1" spans="2:17">
      <c r="B19" s="213" t="s">
        <v>296</v>
      </c>
      <c r="C19" s="314">
        <f>'Balance Sheet'!D21+'Balance Sheet'!D24+'Balance Sheet'!D34+'Balance Sheet'!D36</f>
        <v>23529</v>
      </c>
      <c r="D19" s="314">
        <f>'Balance Sheet'!E21+'Balance Sheet'!E24+'Balance Sheet'!E34+'Balance Sheet'!E36</f>
        <v>31196</v>
      </c>
      <c r="E19" s="314">
        <f>'Balance Sheet'!F21+'Balance Sheet'!F24+'Balance Sheet'!F34+'Balance Sheet'!F36</f>
        <v>30119</v>
      </c>
      <c r="F19" s="314">
        <f>'Balance Sheet'!G21+'Balance Sheet'!G24+'Balance Sheet'!G34+'Balance Sheet'!G36</f>
        <v>32004</v>
      </c>
      <c r="G19" s="314">
        <f>'Balance Sheet'!H21+'Balance Sheet'!H24+'Balance Sheet'!H34+'Balance Sheet'!H36</f>
        <v>37351</v>
      </c>
      <c r="H19" s="314">
        <f>'Balance Sheet'!I21+'Balance Sheet'!I24+'Balance Sheet'!I34+'Balance Sheet'!I36</f>
        <v>39444.9356345211</v>
      </c>
      <c r="I19" s="314">
        <f>'Balance Sheet'!J21+'Balance Sheet'!J24+'Balance Sheet'!J34+'Balance Sheet'!J36</f>
        <v>43203.5664100277</v>
      </c>
      <c r="J19" s="314">
        <f>'Balance Sheet'!K21+'Balance Sheet'!K24+'Balance Sheet'!K34+'Balance Sheet'!K36</f>
        <v>46924.8847119823</v>
      </c>
      <c r="K19" s="314">
        <f>'Balance Sheet'!L21+'Balance Sheet'!L24+'Balance Sheet'!L34+'Balance Sheet'!L36</f>
        <v>50542.4002715256</v>
      </c>
      <c r="L19" s="314">
        <f>'Balance Sheet'!M21+'Balance Sheet'!M24+'Balance Sheet'!M34+'Balance Sheet'!M36</f>
        <v>53986.7961890595</v>
      </c>
      <c r="M19" s="314">
        <f>'Balance Sheet'!N21+'Balance Sheet'!N24+'Balance Sheet'!N34+'Balance Sheet'!N36</f>
        <v>57187.8113581675</v>
      </c>
      <c r="N19" s="314">
        <f>'Balance Sheet'!O21+'Balance Sheet'!O24+'Balance Sheet'!O34+'Balance Sheet'!O36</f>
        <v>60076.2628417051</v>
      </c>
      <c r="O19" s="314">
        <f>'Balance Sheet'!P21+'Balance Sheet'!P24+'Balance Sheet'!P34+'Balance Sheet'!P36</f>
        <v>62586.1452084569</v>
      </c>
      <c r="P19" s="314">
        <f>'Balance Sheet'!Q21+'Balance Sheet'!Q24+'Balance Sheet'!Q34+'Balance Sheet'!Q36</f>
        <v>64656.7428413337</v>
      </c>
      <c r="Q19" s="314">
        <f>'Balance Sheet'!R21+'Balance Sheet'!R24+'Balance Sheet'!R34+'Balance Sheet'!R36</f>
        <v>66234.690829953</v>
      </c>
    </row>
    <row r="20" ht="13.5" customHeight="1" spans="2:17">
      <c r="B20" s="213"/>
      <c r="C20" s="95"/>
      <c r="D20" s="95"/>
      <c r="E20" s="95"/>
      <c r="F20" s="95"/>
      <c r="G20" s="95"/>
      <c r="H20" s="315"/>
      <c r="I20" s="315"/>
      <c r="J20" s="315"/>
      <c r="K20" s="315"/>
      <c r="L20" s="315"/>
      <c r="M20" s="315"/>
      <c r="N20" s="315"/>
      <c r="O20" s="315"/>
      <c r="P20" s="315"/>
      <c r="Q20" s="315"/>
    </row>
    <row r="21" ht="13.5" customHeight="1" spans="2:17">
      <c r="B21" s="213"/>
      <c r="H21" s="13"/>
      <c r="I21" s="13"/>
      <c r="J21" s="13"/>
      <c r="K21" s="13"/>
      <c r="L21" s="13"/>
      <c r="M21" s="13"/>
      <c r="N21" s="13"/>
      <c r="O21" s="13"/>
      <c r="P21" s="13"/>
      <c r="Q21" s="13"/>
    </row>
    <row r="22" s="1" customFormat="1" ht="13.5" customHeight="1" spans="2:17">
      <c r="B22" s="268" t="s">
        <v>297</v>
      </c>
      <c r="C22" s="18">
        <f t="shared" ref="C22:Q22" si="2">C11-C13-C15-C17+C19</f>
        <v>13315</v>
      </c>
      <c r="D22" s="18">
        <f t="shared" si="2"/>
        <v>19502</v>
      </c>
      <c r="E22" s="18">
        <f t="shared" si="2"/>
        <v>24697</v>
      </c>
      <c r="F22" s="18">
        <f t="shared" si="2"/>
        <v>25264</v>
      </c>
      <c r="G22" s="18">
        <f t="shared" si="2"/>
        <v>26414</v>
      </c>
      <c r="H22" s="18">
        <f t="shared" si="2"/>
        <v>26928.3029438677</v>
      </c>
      <c r="I22" s="18">
        <f t="shared" si="2"/>
        <v>29494.2482686309</v>
      </c>
      <c r="J22" s="18">
        <f t="shared" si="2"/>
        <v>32034.7210815182</v>
      </c>
      <c r="K22" s="18">
        <f t="shared" si="2"/>
        <v>34504.3297479927</v>
      </c>
      <c r="L22" s="18">
        <f t="shared" si="2"/>
        <v>36855.7529467873</v>
      </c>
      <c r="M22" s="18">
        <f t="shared" si="2"/>
        <v>39041.024764704</v>
      </c>
      <c r="N22" s="18">
        <f t="shared" si="2"/>
        <v>41012.9153340802</v>
      </c>
      <c r="O22" s="18">
        <f t="shared" si="2"/>
        <v>42726.364009763</v>
      </c>
      <c r="P22" s="18">
        <f t="shared" si="2"/>
        <v>44139.921401505</v>
      </c>
      <c r="Q22" s="18">
        <f t="shared" si="2"/>
        <v>45217.1563059021</v>
      </c>
    </row>
    <row r="23" ht="13.5" customHeight="1" spans="2:17">
      <c r="D23" s="14"/>
      <c r="E23" s="14"/>
      <c r="F23" s="14"/>
      <c r="G23" s="14"/>
      <c r="H23" s="14"/>
      <c r="I23" s="14"/>
      <c r="J23" s="14"/>
      <c r="K23" s="14"/>
      <c r="L23" s="14"/>
      <c r="M23" s="14"/>
      <c r="N23" s="14"/>
      <c r="O23" s="14"/>
      <c r="P23" s="14"/>
      <c r="Q23" s="14"/>
    </row>
    <row r="24" ht="13.5" customHeight="1" spans="2:17">
      <c r="B24" s="3" t="s">
        <v>298</v>
      </c>
      <c r="C24" s="15">
        <f>SUM('CF Input'!D26:D29)</f>
        <v>-1424</v>
      </c>
      <c r="D24" s="15">
        <f>SUM('CF Input'!E26:E29)</f>
        <v>-6344</v>
      </c>
      <c r="E24" s="15">
        <f>SUM('CF Input'!F26:F29)</f>
        <v>-5082</v>
      </c>
      <c r="F24" s="15">
        <f>SUM('CF Input'!G26:G29)</f>
        <v>-295</v>
      </c>
      <c r="G24" s="15">
        <f>SUM('CF Input'!H26:H29)</f>
        <v>-2639</v>
      </c>
      <c r="H24" s="15">
        <f>H22-G22</f>
        <v>514.302943867697</v>
      </c>
      <c r="I24" s="15">
        <f t="shared" ref="I24:Q24" si="3">I22-H22</f>
        <v>2565.9453247632</v>
      </c>
      <c r="J24" s="15">
        <f t="shared" si="3"/>
        <v>2540.47281288735</v>
      </c>
      <c r="K24" s="15">
        <f t="shared" si="3"/>
        <v>2469.60866647441</v>
      </c>
      <c r="L24" s="15">
        <f t="shared" si="3"/>
        <v>2351.42319879464</v>
      </c>
      <c r="M24" s="15">
        <f t="shared" si="3"/>
        <v>2185.27181791665</v>
      </c>
      <c r="N24" s="15">
        <f t="shared" si="3"/>
        <v>1971.89056937622</v>
      </c>
      <c r="O24" s="15">
        <f t="shared" si="3"/>
        <v>1713.44867568285</v>
      </c>
      <c r="P24" s="15">
        <f t="shared" si="3"/>
        <v>1413.55739174193</v>
      </c>
      <c r="Q24" s="15">
        <f t="shared" si="3"/>
        <v>1077.23490439716</v>
      </c>
    </row>
    <row r="25" ht="13.5" customHeight="1" spans="2:17">
      <c r="H25" s="14"/>
      <c r="I25" s="14"/>
      <c r="J25" s="14"/>
      <c r="K25" s="14"/>
      <c r="L25" s="14"/>
      <c r="M25" s="14"/>
      <c r="N25" s="14"/>
      <c r="O25" s="14"/>
      <c r="P25" s="14"/>
      <c r="Q25" s="14"/>
    </row>
  </sheetData>
  <mergeCells count="4">
    <mergeCell ref="P6:Q6"/>
    <mergeCell ref="B7:Q7"/>
    <mergeCell ref="B8:B9"/>
    <mergeCell ref="B2:D4"/>
  </mergeCells>
  <pageMargins left="0.7" right="0.7" top="0.75" bottom="0.75" header="0.511811023622047" footer="0.511811023622047"/>
  <pageSetup paperSize="9" orientation="portrait" horizontalDpi="300" verticalDpi="300"/>
  <headerFooter/>
  <ignoredErrors>
    <ignoredError sqref="H10:Q12 C13:Q14" formula="1"/>
  </ignoredError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2:Q52"/>
  <sheetViews>
    <sheetView showGridLines="0" zoomScale="71" zoomScaleNormal="71" workbookViewId="0">
      <selection activeCell="A12" sqref="$A12:$XFD12"/>
    </sheetView>
  </sheetViews>
  <sheetFormatPr defaultColWidth="8.83333333333333" defaultRowHeight="13.8"/>
  <cols>
    <col min="1" max="1" width="5.51851851851852" style="3" customWidth="1"/>
    <col min="2" max="2" width="45.25" style="3" customWidth="1"/>
    <col min="3" max="7" width="13.1666666666667" style="3" customWidth="1"/>
    <col min="8" max="8" width="14.3333333333333" style="3" customWidth="1"/>
    <col min="9" max="10" width="13.1666666666667" style="3" customWidth="1"/>
    <col min="11" max="17" width="14.3333333333333" style="3" customWidth="1"/>
    <col min="18" max="16384" width="8.83333333333333" style="3"/>
  </cols>
  <sheetData>
    <row r="2" ht="13.5" customHeight="1" spans="2:17">
      <c r="B2" s="173" t="s">
        <v>21</v>
      </c>
      <c r="C2" s="173"/>
      <c r="D2" s="173"/>
    </row>
    <row r="3" ht="13.5" customHeight="1" spans="2:17">
      <c r="B3" s="173"/>
      <c r="C3" s="173"/>
      <c r="D3" s="173"/>
    </row>
    <row r="4" ht="13.5" customHeight="1" spans="2:17">
      <c r="B4" s="173"/>
      <c r="C4" s="173"/>
      <c r="D4" s="173"/>
    </row>
    <row r="6" ht="14.25" customHeight="1" spans="2:17">
      <c r="B6" s="210"/>
      <c r="C6" s="210"/>
      <c r="F6" s="6"/>
      <c r="G6" s="6"/>
      <c r="P6" s="5" t="s">
        <v>83</v>
      </c>
      <c r="Q6" s="5"/>
    </row>
    <row r="7" ht="15" customHeight="1" spans="2:17">
      <c r="B7" s="211" t="s">
        <v>12</v>
      </c>
      <c r="C7" s="211"/>
      <c r="D7" s="211"/>
      <c r="E7" s="211"/>
      <c r="F7" s="211"/>
      <c r="G7" s="211"/>
      <c r="H7" s="211"/>
      <c r="I7" s="211"/>
      <c r="J7" s="211"/>
      <c r="K7" s="211"/>
      <c r="L7" s="211"/>
      <c r="M7" s="211"/>
      <c r="N7" s="211"/>
      <c r="O7" s="211"/>
      <c r="P7" s="211"/>
      <c r="Q7" s="211"/>
    </row>
    <row r="8" ht="14.25" customHeight="1" spans="2:17">
      <c r="B8" s="212" t="s">
        <v>39</v>
      </c>
      <c r="C8" s="9">
        <f>FAS!C8</f>
        <v>2022</v>
      </c>
      <c r="D8" s="9">
        <f>FAS!D8</f>
        <v>2023</v>
      </c>
      <c r="E8" s="9">
        <f>FAS!E8</f>
        <v>2024</v>
      </c>
      <c r="F8" s="9">
        <f>FAS!F8</f>
        <v>2025</v>
      </c>
      <c r="G8" s="9">
        <f>FAS!G8</f>
        <v>2026</v>
      </c>
      <c r="H8" s="10">
        <f>FAS!H8</f>
        <v>2027</v>
      </c>
      <c r="I8" s="10">
        <f>FAS!I8</f>
        <v>2028</v>
      </c>
      <c r="J8" s="10">
        <f>FAS!J8</f>
        <v>2029</v>
      </c>
      <c r="K8" s="10">
        <f>FAS!K8</f>
        <v>2030</v>
      </c>
      <c r="L8" s="10">
        <f>FAS!L8</f>
        <v>2031</v>
      </c>
      <c r="M8" s="10">
        <f>FAS!M8</f>
        <v>2032</v>
      </c>
      <c r="N8" s="10">
        <f>FAS!N8</f>
        <v>2033</v>
      </c>
      <c r="O8" s="10">
        <f>FAS!O8</f>
        <v>2034</v>
      </c>
      <c r="P8" s="10">
        <f>FAS!P8</f>
        <v>2035</v>
      </c>
      <c r="Q8" s="10">
        <f>FAS!Q8</f>
        <v>2036</v>
      </c>
    </row>
    <row r="9" ht="13.5" customHeight="1" spans="2:17">
      <c r="B9" s="212"/>
      <c r="C9" s="11" t="s">
        <v>84</v>
      </c>
      <c r="D9" s="11" t="s">
        <v>84</v>
      </c>
      <c r="E9" s="11" t="s">
        <v>84</v>
      </c>
      <c r="F9" s="11" t="s">
        <v>84</v>
      </c>
      <c r="G9" s="11" t="s">
        <v>84</v>
      </c>
      <c r="H9" s="12" t="s">
        <v>234</v>
      </c>
      <c r="I9" s="12" t="s">
        <v>235</v>
      </c>
      <c r="J9" s="12" t="s">
        <v>235</v>
      </c>
      <c r="K9" s="12" t="s">
        <v>235</v>
      </c>
      <c r="L9" s="12" t="s">
        <v>235</v>
      </c>
      <c r="M9" s="12" t="s">
        <v>235</v>
      </c>
      <c r="N9" s="12" t="s">
        <v>235</v>
      </c>
      <c r="O9" s="12" t="s">
        <v>235</v>
      </c>
      <c r="P9" s="12" t="s">
        <v>235</v>
      </c>
      <c r="Q9" s="12" t="s">
        <v>235</v>
      </c>
    </row>
    <row r="10" ht="13.5" customHeight="1" spans="2:17">
      <c r="B10" s="282"/>
      <c r="C10" s="283"/>
      <c r="D10" s="234"/>
      <c r="E10" s="234"/>
      <c r="F10" s="234"/>
      <c r="G10" s="234"/>
      <c r="H10" s="13"/>
      <c r="I10" s="13"/>
      <c r="J10" s="13"/>
      <c r="K10" s="13"/>
      <c r="L10" s="13"/>
      <c r="M10" s="13"/>
      <c r="N10" s="13"/>
      <c r="O10" s="13"/>
      <c r="P10" s="13"/>
      <c r="Q10" s="13"/>
    </row>
    <row r="11" ht="14.25" customHeight="1" spans="2:17">
      <c r="B11" s="284" t="s">
        <v>85</v>
      </c>
      <c r="C11" s="66">
        <f>'P&amp;L Input'!C11</f>
        <v>121641</v>
      </c>
      <c r="D11" s="66">
        <f>'P&amp;L Input'!D11</f>
        <v>146767</v>
      </c>
      <c r="E11" s="66">
        <f>'P&amp;L Input'!E11</f>
        <v>153670</v>
      </c>
      <c r="F11" s="66">
        <f>'P&amp;L Input'!F11</f>
        <v>162990</v>
      </c>
      <c r="G11" s="66">
        <f>'P&amp;L Input'!G11</f>
        <v>178650</v>
      </c>
      <c r="H11" s="16">
        <f>'Revenue Buildup'!H11</f>
        <v>184226.178856416</v>
      </c>
      <c r="I11" s="16">
        <f>'Revenue Buildup'!I11</f>
        <v>201780.731154828</v>
      </c>
      <c r="J11" s="16">
        <f>'Revenue Buildup'!J11</f>
        <v>219161.016863231</v>
      </c>
      <c r="K11" s="16">
        <f>'Revenue Buildup'!K11</f>
        <v>236056.495529066</v>
      </c>
      <c r="L11" s="16">
        <f>'Revenue Buildup'!L11</f>
        <v>252143.425020734</v>
      </c>
      <c r="M11" s="16">
        <f>'Revenue Buildup'!M11</f>
        <v>267093.653322034</v>
      </c>
      <c r="N11" s="16">
        <f>'Revenue Buildup'!N11</f>
        <v>280584.063968276</v>
      </c>
      <c r="O11" s="16">
        <f>'Revenue Buildup'!O11</f>
        <v>292306.380923995</v>
      </c>
      <c r="P11" s="16">
        <f>'Revenue Buildup'!P11</f>
        <v>301977.034043789</v>
      </c>
      <c r="Q11" s="16">
        <f>'Revenue Buildup'!Q11</f>
        <v>309346.784398333</v>
      </c>
    </row>
    <row r="12" ht="14.25" customHeight="1" spans="2:17">
      <c r="B12" s="284"/>
      <c r="C12" s="66"/>
      <c r="D12" s="66"/>
      <c r="E12" s="66"/>
      <c r="F12" s="66"/>
      <c r="G12" s="66"/>
      <c r="H12" s="16"/>
      <c r="I12" s="16"/>
      <c r="J12" s="16"/>
      <c r="K12" s="16"/>
      <c r="L12" s="16"/>
      <c r="M12" s="16"/>
      <c r="N12" s="16"/>
      <c r="O12" s="16"/>
      <c r="P12" s="16"/>
      <c r="Q12" s="16"/>
    </row>
    <row r="13" ht="13.5" customHeight="1" spans="2:17">
      <c r="B13" s="284"/>
      <c r="C13" s="14"/>
      <c r="D13" s="14"/>
      <c r="E13" s="14"/>
      <c r="F13" s="14"/>
      <c r="G13" s="14"/>
      <c r="H13" s="13"/>
      <c r="I13" s="13"/>
      <c r="J13" s="13"/>
      <c r="K13" s="13"/>
      <c r="L13" s="13"/>
      <c r="M13" s="13"/>
      <c r="N13" s="13"/>
      <c r="O13" s="13"/>
      <c r="P13" s="13"/>
      <c r="Q13" s="13"/>
    </row>
    <row r="14" ht="14.25" customHeight="1" spans="2:17">
      <c r="B14" s="285" t="s">
        <v>87</v>
      </c>
      <c r="C14" s="274">
        <f t="shared" ref="C14:Q14" si="0">SUM(C11:C13)</f>
        <v>121641</v>
      </c>
      <c r="D14" s="274">
        <f t="shared" si="0"/>
        <v>146767</v>
      </c>
      <c r="E14" s="274">
        <f t="shared" si="0"/>
        <v>153670</v>
      </c>
      <c r="F14" s="274">
        <f t="shared" si="0"/>
        <v>162990</v>
      </c>
      <c r="G14" s="274">
        <f t="shared" si="0"/>
        <v>178650</v>
      </c>
      <c r="H14" s="274">
        <f t="shared" si="0"/>
        <v>184226.178856416</v>
      </c>
      <c r="I14" s="274">
        <f t="shared" si="0"/>
        <v>201780.731154828</v>
      </c>
      <c r="J14" s="274">
        <f t="shared" si="0"/>
        <v>219161.016863231</v>
      </c>
      <c r="K14" s="274">
        <f t="shared" si="0"/>
        <v>236056.495529066</v>
      </c>
      <c r="L14" s="274">
        <f t="shared" si="0"/>
        <v>252143.425020734</v>
      </c>
      <c r="M14" s="274">
        <f t="shared" si="0"/>
        <v>267093.653322034</v>
      </c>
      <c r="N14" s="274">
        <f t="shared" si="0"/>
        <v>280584.063968276</v>
      </c>
      <c r="O14" s="274">
        <f t="shared" si="0"/>
        <v>292306.380923995</v>
      </c>
      <c r="P14" s="274">
        <f t="shared" si="0"/>
        <v>301977.034043789</v>
      </c>
      <c r="Q14" s="274">
        <f t="shared" si="0"/>
        <v>309346.784398333</v>
      </c>
    </row>
    <row r="15" ht="13.5" customHeight="1" spans="2:17">
      <c r="B15" s="284"/>
      <c r="C15" s="14"/>
      <c r="D15" s="14"/>
      <c r="E15" s="14"/>
      <c r="F15" s="14"/>
      <c r="G15" s="14"/>
      <c r="H15" s="13"/>
      <c r="I15" s="13"/>
      <c r="J15" s="13"/>
      <c r="K15" s="13"/>
      <c r="L15" s="13"/>
      <c r="M15" s="13"/>
      <c r="N15" s="13"/>
      <c r="O15" s="13"/>
      <c r="P15" s="13"/>
      <c r="Q15" s="13"/>
    </row>
    <row r="16" ht="14.25" customHeight="1" spans="2:17">
      <c r="B16" s="286" t="s">
        <v>88</v>
      </c>
      <c r="C16" s="57"/>
      <c r="D16" s="57"/>
      <c r="E16" s="57"/>
      <c r="F16" s="57"/>
      <c r="G16" s="57"/>
      <c r="H16" s="287"/>
      <c r="I16" s="13"/>
      <c r="J16" s="13"/>
      <c r="K16" s="13"/>
      <c r="L16" s="13"/>
      <c r="M16" s="13"/>
      <c r="N16" s="13"/>
      <c r="O16" s="13"/>
      <c r="P16" s="13"/>
      <c r="Q16" s="13"/>
    </row>
    <row r="17" ht="13.5" customHeight="1" spans="2:17">
      <c r="B17" s="284"/>
      <c r="C17" s="66"/>
      <c r="D17" s="66"/>
      <c r="E17" s="66"/>
      <c r="F17" s="66"/>
      <c r="G17" s="66"/>
      <c r="H17" s="16"/>
      <c r="I17" s="16"/>
      <c r="J17" s="16"/>
      <c r="K17" s="16"/>
      <c r="L17" s="16"/>
      <c r="M17" s="16"/>
      <c r="N17" s="16"/>
      <c r="O17" s="16"/>
      <c r="P17" s="16"/>
      <c r="Q17" s="16"/>
    </row>
    <row r="18" ht="14.25" customHeight="1" spans="2:17">
      <c r="B18" s="284" t="str">
        <f>'P&amp;L Input'!B17</f>
        <v>Employee benefit expenses</v>
      </c>
      <c r="C18" s="66">
        <f>'P&amp;L Input'!C17</f>
        <v>63986</v>
      </c>
      <c r="D18" s="66">
        <f>'P&amp;L Input'!D17</f>
        <v>78359</v>
      </c>
      <c r="E18" s="66">
        <f>'P&amp;L Input'!E17</f>
        <v>82620</v>
      </c>
      <c r="F18" s="66">
        <f>'P&amp;L Input'!F17</f>
        <v>85950</v>
      </c>
      <c r="G18" s="66">
        <f>'P&amp;L Input'!G17</f>
        <v>95094</v>
      </c>
      <c r="H18" s="16">
        <f>'Cost Buildup'!H13</f>
        <v>104041.76234016</v>
      </c>
      <c r="I18" s="16">
        <f>'Cost Buildup'!I13</f>
        <v>113955.69840265</v>
      </c>
      <c r="J18" s="16">
        <f>'Cost Buildup'!J13</f>
        <v>123771.217382106</v>
      </c>
      <c r="K18" s="16">
        <f>'Cost Buildup'!K13</f>
        <v>133312.941511032</v>
      </c>
      <c r="L18" s="16">
        <f>'Cost Buildup'!L13</f>
        <v>142398.037371699</v>
      </c>
      <c r="M18" s="16">
        <f>'Cost Buildup'!M13</f>
        <v>150841.181063385</v>
      </c>
      <c r="N18" s="16">
        <f>'Cost Buildup'!N13</f>
        <v>158459.892513843</v>
      </c>
      <c r="O18" s="16">
        <f>'Cost Buildup'!O13</f>
        <v>165080.072785473</v>
      </c>
      <c r="P18" s="16">
        <f>'Cost Buildup'!P13</f>
        <v>170541.575595819</v>
      </c>
      <c r="Q18" s="16">
        <f>'Cost Buildup'!Q13</f>
        <v>174703.643221894</v>
      </c>
    </row>
    <row r="19" ht="14.25" customHeight="1" spans="2:17">
      <c r="B19" s="284" t="str">
        <f>'P&amp;L Input'!B18</f>
        <v>Cost of technical sub-contractors</v>
      </c>
      <c r="C19" s="66">
        <f>'P&amp;L Input'!C18</f>
        <v>12606</v>
      </c>
      <c r="D19" s="66">
        <f>'P&amp;L Input'!D18</f>
        <v>14062</v>
      </c>
      <c r="E19" s="66">
        <f>'P&amp;L Input'!E18</f>
        <v>12232</v>
      </c>
      <c r="F19" s="66">
        <f>'P&amp;L Input'!F18</f>
        <v>12937</v>
      </c>
      <c r="G19" s="66">
        <f>'P&amp;L Input'!G18</f>
        <v>15421</v>
      </c>
      <c r="H19" s="16">
        <f>'Cost Buildup'!H16</f>
        <v>17413.5322466735</v>
      </c>
      <c r="I19" s="16">
        <f>'Cost Buildup'!I16</f>
        <v>19072.8336794116</v>
      </c>
      <c r="J19" s="16">
        <f>'Cost Buildup'!J16</f>
        <v>20715.6629858565</v>
      </c>
      <c r="K19" s="16">
        <f>'Cost Buildup'!K16</f>
        <v>22312.6670837367</v>
      </c>
      <c r="L19" s="16">
        <f>'Cost Buildup'!L16</f>
        <v>23833.2450341237</v>
      </c>
      <c r="M19" s="16">
        <f>'Cost Buildup'!M16</f>
        <v>25246.3790644546</v>
      </c>
      <c r="N19" s="16">
        <f>'Cost Buildup'!N16</f>
        <v>26521.5273754463</v>
      </c>
      <c r="O19" s="16">
        <f>'Cost Buildup'!O16</f>
        <v>27629.5509233549</v>
      </c>
      <c r="P19" s="16">
        <f>'Cost Buildup'!P16</f>
        <v>28543.6459287079</v>
      </c>
      <c r="Q19" s="16">
        <f>'Cost Buildup'!Q16</f>
        <v>29240.2536868746</v>
      </c>
    </row>
    <row r="20" ht="14.25" customHeight="1" spans="2:17">
      <c r="B20" s="284" t="str">
        <f>'P&amp;L Input'!B19</f>
        <v>Travel expenses</v>
      </c>
      <c r="C20" s="66">
        <f>'P&amp;L Input'!C19</f>
        <v>827</v>
      </c>
      <c r="D20" s="66">
        <f>'P&amp;L Input'!D19</f>
        <v>1525</v>
      </c>
      <c r="E20" s="66">
        <f>'P&amp;L Input'!E19</f>
        <v>1759</v>
      </c>
      <c r="F20" s="66">
        <f>'P&amp;L Input'!F19</f>
        <v>1894</v>
      </c>
      <c r="G20" s="66">
        <f>'P&amp;L Input'!G19</f>
        <v>2097</v>
      </c>
      <c r="H20" s="16">
        <f>'Cost Buildup'!H19</f>
        <v>2035.82317470431</v>
      </c>
      <c r="I20" s="16">
        <f>'Cost Buildup'!I19</f>
        <v>2229.81278363236</v>
      </c>
      <c r="J20" s="16">
        <f>'Cost Buildup'!J19</f>
        <v>2421.87662954064</v>
      </c>
      <c r="K20" s="16">
        <f>'Cost Buildup'!K19</f>
        <v>2608.58303157939</v>
      </c>
      <c r="L20" s="16">
        <f>'Cost Buildup'!L19</f>
        <v>2786.35442146691</v>
      </c>
      <c r="M20" s="16">
        <f>'Cost Buildup'!M19</f>
        <v>2951.56449873084</v>
      </c>
      <c r="N20" s="16">
        <f>'Cost Buildup'!N19</f>
        <v>3100.64260912959</v>
      </c>
      <c r="O20" s="16">
        <f>'Cost Buildup'!O19</f>
        <v>3230.18209514522</v>
      </c>
      <c r="P20" s="16">
        <f>'Cost Buildup'!P19</f>
        <v>3337.04931596049</v>
      </c>
      <c r="Q20" s="16">
        <f>'Cost Buildup'!Q19</f>
        <v>3418.49001378476</v>
      </c>
    </row>
    <row r="21" ht="14.25" customHeight="1" spans="2:17">
      <c r="B21" s="284" t="str">
        <f>'P&amp;L Input'!B20</f>
        <v>Cost of software packages and others</v>
      </c>
      <c r="C21" s="66">
        <f>'P&amp;L Input'!C20</f>
        <v>6811</v>
      </c>
      <c r="D21" s="66">
        <f>'P&amp;L Input'!D20</f>
        <v>10902</v>
      </c>
      <c r="E21" s="66">
        <f>'P&amp;L Input'!E20</f>
        <v>13515</v>
      </c>
      <c r="F21" s="66">
        <f>'P&amp;L Input'!F20</f>
        <v>15911</v>
      </c>
      <c r="G21" s="66">
        <f>'P&amp;L Input'!G20</f>
        <v>15722</v>
      </c>
      <c r="H21" s="16">
        <f>'Cost Buildup'!H22</f>
        <v>15812.4763844252</v>
      </c>
      <c r="I21" s="16">
        <f>'Cost Buildup'!I22</f>
        <v>17319.2163351797</v>
      </c>
      <c r="J21" s="16">
        <f>'Cost Buildup'!J22</f>
        <v>18810.9986596282</v>
      </c>
      <c r="K21" s="16">
        <f>'Cost Buildup'!K22</f>
        <v>20261.1690917865</v>
      </c>
      <c r="L21" s="16">
        <f>'Cost Buildup'!L22</f>
        <v>21641.9402409464</v>
      </c>
      <c r="M21" s="16">
        <f>'Cost Buildup'!M22</f>
        <v>22925.1462077831</v>
      </c>
      <c r="N21" s="16">
        <f>'Cost Buildup'!N22</f>
        <v>24083.0533037456</v>
      </c>
      <c r="O21" s="16">
        <f>'Cost Buildup'!O22</f>
        <v>25089.2016219904</v>
      </c>
      <c r="P21" s="16">
        <f>'Cost Buildup'!P22</f>
        <v>25919.2518082773</v>
      </c>
      <c r="Q21" s="16">
        <f>'Cost Buildup'!Q22</f>
        <v>26551.811220646</v>
      </c>
    </row>
    <row r="22" ht="14.25" customHeight="1" spans="2:17">
      <c r="B22" s="284" t="str">
        <f>'P&amp;L Input'!B21</f>
        <v>Communication expenses</v>
      </c>
      <c r="C22" s="66">
        <f>'P&amp;L Input'!C21</f>
        <v>611</v>
      </c>
      <c r="D22" s="66">
        <f>'P&amp;L Input'!D21</f>
        <v>713</v>
      </c>
      <c r="E22" s="66">
        <f>'P&amp;L Input'!E21</f>
        <v>677</v>
      </c>
      <c r="F22" s="66">
        <f>'P&amp;L Input'!F21</f>
        <v>620</v>
      </c>
      <c r="G22" s="66">
        <f>'P&amp;L Input'!G21</f>
        <v>603</v>
      </c>
      <c r="H22" s="16">
        <f>'Cost Buildup'!H25</f>
        <v>840.487424967029</v>
      </c>
      <c r="I22" s="16">
        <f>'Cost Buildup'!I25</f>
        <v>920.575827979723</v>
      </c>
      <c r="J22" s="16">
        <f>'Cost Buildup'!J25</f>
        <v>999.869181784951</v>
      </c>
      <c r="K22" s="16">
        <f>'Cost Buildup'!K25</f>
        <v>1076.95072060632</v>
      </c>
      <c r="L22" s="16">
        <f>'Cost Buildup'!L25</f>
        <v>1150.34344919684</v>
      </c>
      <c r="M22" s="16">
        <f>'Cost Buildup'!M25</f>
        <v>1218.55025327664</v>
      </c>
      <c r="N22" s="16">
        <f>'Cost Buildup'!N25</f>
        <v>1280.09699205281</v>
      </c>
      <c r="O22" s="16">
        <f>'Cost Buildup'!O25</f>
        <v>1333.57723060478</v>
      </c>
      <c r="P22" s="16">
        <f>'Cost Buildup'!P25</f>
        <v>1377.69724866551</v>
      </c>
      <c r="Q22" s="16">
        <f>'Cost Buildup'!Q25</f>
        <v>1411.31995384559</v>
      </c>
    </row>
    <row r="23" ht="14.25" customHeight="1" spans="2:17">
      <c r="B23" s="284" t="str">
        <f>'P&amp;L Input'!B22</f>
        <v>Consultancy and professional charges</v>
      </c>
      <c r="C23" s="66">
        <f>'P&amp;L Input'!C22</f>
        <v>1885</v>
      </c>
      <c r="D23" s="66">
        <f>'P&amp;L Input'!D22</f>
        <v>1684</v>
      </c>
      <c r="E23" s="66">
        <f>'P&amp;L Input'!E22</f>
        <v>1726</v>
      </c>
      <c r="F23" s="66">
        <f>'P&amp;L Input'!F22</f>
        <v>1655</v>
      </c>
      <c r="G23" s="66">
        <f>'P&amp;L Input'!G22</f>
        <v>2090</v>
      </c>
      <c r="H23" s="16">
        <f>'Cost Buildup'!H28</f>
        <v>2351.44163622067</v>
      </c>
      <c r="I23" s="16">
        <f>'Cost Buildup'!I28</f>
        <v>2575.50591110243</v>
      </c>
      <c r="J23" s="16">
        <f>'Cost Buildup'!J28</f>
        <v>2797.34586738792</v>
      </c>
      <c r="K23" s="16">
        <f>'Cost Buildup'!K28</f>
        <v>3012.99780266302</v>
      </c>
      <c r="L23" s="16">
        <f>'Cost Buildup'!L28</f>
        <v>3218.32950980946</v>
      </c>
      <c r="M23" s="16">
        <f>'Cost Buildup'!M28</f>
        <v>3409.15249445206</v>
      </c>
      <c r="N23" s="16">
        <f>'Cost Buildup'!N28</f>
        <v>3581.34253541259</v>
      </c>
      <c r="O23" s="16">
        <f>'Cost Buildup'!O28</f>
        <v>3730.96483303478</v>
      </c>
      <c r="P23" s="16">
        <f>'Cost Buildup'!P28</f>
        <v>3854.39993078521</v>
      </c>
      <c r="Q23" s="16">
        <f>'Cost Buildup'!Q28</f>
        <v>3948.46657180116</v>
      </c>
    </row>
    <row r="24" ht="14.25" customHeight="1" spans="2:17">
      <c r="B24" s="284" t="str">
        <f>'P&amp;L Input'!B23</f>
        <v>Other expenses</v>
      </c>
      <c r="C24" s="66">
        <f>'P&amp;L Input'!C23</f>
        <v>3424</v>
      </c>
      <c r="D24" s="66">
        <f>'P&amp;L Input'!D23</f>
        <v>4392</v>
      </c>
      <c r="E24" s="66">
        <f>'P&amp;L Input'!E23</f>
        <v>4716</v>
      </c>
      <c r="F24" s="66">
        <f>'P&amp;L Input'!F23</f>
        <v>4787</v>
      </c>
      <c r="G24" s="66">
        <f>'P&amp;L Input'!G23</f>
        <v>5343</v>
      </c>
      <c r="H24" s="16">
        <f>'Cost Buildup'!H31</f>
        <v>5796.46996085787</v>
      </c>
      <c r="I24" s="16">
        <f>'Cost Buildup'!I31</f>
        <v>6348.80424747063</v>
      </c>
      <c r="J24" s="16">
        <f>'Cost Buildup'!J31</f>
        <v>6895.65543140798</v>
      </c>
      <c r="K24" s="16">
        <f>'Cost Buildup'!K31</f>
        <v>7427.25270584941</v>
      </c>
      <c r="L24" s="16">
        <f>'Cost Buildup'!L31</f>
        <v>7933.40988795959</v>
      </c>
      <c r="M24" s="16">
        <f>'Cost Buildup'!M31</f>
        <v>8403.80204283349</v>
      </c>
      <c r="N24" s="16">
        <f>'Cost Buildup'!N31</f>
        <v>8828.2626735429</v>
      </c>
      <c r="O24" s="16">
        <f>'Cost Buildup'!O31</f>
        <v>9197.09222060982</v>
      </c>
      <c r="P24" s="16">
        <f>'Cost Buildup'!P31</f>
        <v>9501.36846765964</v>
      </c>
      <c r="Q24" s="16">
        <f>'Cost Buildup'!Q31</f>
        <v>9733.2493915018</v>
      </c>
    </row>
    <row r="25" ht="14.25" customHeight="1" spans="2:17">
      <c r="B25" s="288" t="str">
        <f>'P&amp;L Input'!B24</f>
        <v>Total Expenses</v>
      </c>
      <c r="C25" s="289">
        <f t="shared" ref="C25:Q25" si="1">SUM(C18:C24)</f>
        <v>90150</v>
      </c>
      <c r="D25" s="289">
        <f t="shared" si="1"/>
        <v>111637</v>
      </c>
      <c r="E25" s="289">
        <f t="shared" si="1"/>
        <v>117245</v>
      </c>
      <c r="F25" s="289">
        <f t="shared" si="1"/>
        <v>123754</v>
      </c>
      <c r="G25" s="289">
        <f t="shared" si="1"/>
        <v>136370</v>
      </c>
      <c r="H25" s="290">
        <f t="shared" si="1"/>
        <v>148291.993168009</v>
      </c>
      <c r="I25" s="290">
        <f t="shared" si="1"/>
        <v>162422.447187426</v>
      </c>
      <c r="J25" s="290">
        <f t="shared" si="1"/>
        <v>176412.626137712</v>
      </c>
      <c r="K25" s="290">
        <f t="shared" si="1"/>
        <v>190012.561947253</v>
      </c>
      <c r="L25" s="290">
        <f t="shared" si="1"/>
        <v>202961.659915202</v>
      </c>
      <c r="M25" s="290">
        <f t="shared" si="1"/>
        <v>214995.775624916</v>
      </c>
      <c r="N25" s="290">
        <f t="shared" si="1"/>
        <v>225854.818003173</v>
      </c>
      <c r="O25" s="290">
        <f t="shared" si="1"/>
        <v>235290.641710213</v>
      </c>
      <c r="P25" s="290">
        <f t="shared" si="1"/>
        <v>243074.988295875</v>
      </c>
      <c r="Q25" s="290">
        <f t="shared" si="1"/>
        <v>249007.234060348</v>
      </c>
    </row>
    <row r="26" ht="13.5" customHeight="1" spans="2:17">
      <c r="B26" s="284"/>
      <c r="C26" s="14"/>
      <c r="D26" s="14"/>
      <c r="E26" s="14"/>
      <c r="F26" s="14"/>
      <c r="G26" s="14"/>
      <c r="H26" s="13"/>
      <c r="I26" s="13"/>
      <c r="J26" s="13"/>
      <c r="K26" s="13"/>
      <c r="L26" s="13"/>
      <c r="M26" s="13"/>
      <c r="N26" s="13"/>
      <c r="O26" s="13"/>
      <c r="P26" s="13"/>
      <c r="Q26" s="13"/>
    </row>
    <row r="27" ht="14.25" customHeight="1" spans="2:17">
      <c r="B27" s="285" t="s">
        <v>97</v>
      </c>
      <c r="C27" s="274">
        <f>C14-C25</f>
        <v>31491</v>
      </c>
      <c r="D27" s="274">
        <f>D14-D25</f>
        <v>35130</v>
      </c>
      <c r="E27" s="274">
        <f>E14-E25</f>
        <v>36425</v>
      </c>
      <c r="F27" s="274">
        <f>F14-F25</f>
        <v>39236</v>
      </c>
      <c r="G27" s="274">
        <f>G14-G25</f>
        <v>42280</v>
      </c>
      <c r="H27" s="274">
        <f t="shared" ref="H27:Q27" si="2">H14-H18-H24</f>
        <v>74387.9465553981</v>
      </c>
      <c r="I27" s="274">
        <f t="shared" si="2"/>
        <v>81476.2285047074</v>
      </c>
      <c r="J27" s="274">
        <f t="shared" si="2"/>
        <v>88494.144049717</v>
      </c>
      <c r="K27" s="274">
        <f t="shared" si="2"/>
        <v>95316.3013121846</v>
      </c>
      <c r="L27" s="274">
        <f t="shared" si="2"/>
        <v>101811.977761075</v>
      </c>
      <c r="M27" s="274">
        <f t="shared" si="2"/>
        <v>107848.670215815</v>
      </c>
      <c r="N27" s="274">
        <f t="shared" si="2"/>
        <v>113295.90878089</v>
      </c>
      <c r="O27" s="274">
        <f t="shared" si="2"/>
        <v>118029.215917912</v>
      </c>
      <c r="P27" s="274">
        <f t="shared" si="2"/>
        <v>121934.08998031</v>
      </c>
      <c r="Q27" s="274">
        <f t="shared" si="2"/>
        <v>124909.891784937</v>
      </c>
    </row>
    <row r="28" ht="13.5" customHeight="1" spans="2:17">
      <c r="B28" s="284"/>
      <c r="C28" s="14"/>
      <c r="D28" s="14"/>
      <c r="E28" s="14"/>
      <c r="F28" s="14"/>
      <c r="G28" s="14"/>
      <c r="H28" s="13"/>
      <c r="I28" s="13"/>
      <c r="J28" s="13"/>
      <c r="K28" s="13"/>
      <c r="L28" s="13"/>
      <c r="M28" s="13"/>
      <c r="N28" s="13"/>
      <c r="O28" s="13"/>
      <c r="P28" s="13"/>
      <c r="Q28" s="13"/>
    </row>
    <row r="29" ht="14.25" customHeight="1" spans="2:17">
      <c r="B29" s="284" t="s">
        <v>228</v>
      </c>
      <c r="C29" s="66">
        <f>'P&amp;L Input'!C28</f>
        <v>3476</v>
      </c>
      <c r="D29" s="66">
        <f>'P&amp;L Input'!D28</f>
        <v>4225</v>
      </c>
      <c r="E29" s="66">
        <f>'P&amp;L Input'!E28</f>
        <v>4678</v>
      </c>
      <c r="F29" s="66">
        <f>'P&amp;L Input'!F28</f>
        <v>4812</v>
      </c>
      <c r="G29" s="66">
        <f>'P&amp;L Input'!G28</f>
        <v>4902</v>
      </c>
      <c r="H29" s="16">
        <f ca="1">FAS!H161</f>
        <v>3083.6</v>
      </c>
      <c r="I29" s="16">
        <f ca="1">FAS!I161</f>
        <v>3083.6</v>
      </c>
      <c r="J29" s="16">
        <f ca="1">FAS!J161</f>
        <v>3083.6</v>
      </c>
      <c r="K29" s="16">
        <f ca="1">FAS!K161</f>
        <v>3206.944</v>
      </c>
      <c r="L29" s="16">
        <f ca="1">FAS!L161</f>
        <v>3206.944</v>
      </c>
      <c r="M29" s="16">
        <f ca="1">FAS!M161</f>
        <v>3206.944</v>
      </c>
      <c r="N29" s="16">
        <f ca="1">FAS!N161</f>
        <v>3335.22176</v>
      </c>
      <c r="O29" s="16">
        <f ca="1">FAS!O161</f>
        <v>3335.22176</v>
      </c>
      <c r="P29" s="16">
        <f ca="1">FAS!P161</f>
        <v>3335.22176</v>
      </c>
      <c r="Q29" s="16">
        <f ca="1">FAS!Q161</f>
        <v>3468.6306304</v>
      </c>
    </row>
    <row r="30" ht="13.5" customHeight="1" spans="2:17">
      <c r="B30" s="284"/>
      <c r="C30" s="14"/>
      <c r="D30" s="14"/>
      <c r="E30" s="14"/>
      <c r="F30" s="14"/>
      <c r="G30" s="14"/>
      <c r="H30" s="13"/>
      <c r="I30" s="13"/>
      <c r="J30" s="13"/>
      <c r="K30" s="13"/>
      <c r="L30" s="13"/>
      <c r="M30" s="13"/>
      <c r="N30" s="13"/>
      <c r="O30" s="13"/>
      <c r="P30" s="13"/>
      <c r="Q30" s="13"/>
    </row>
    <row r="31" ht="14.25" customHeight="1" spans="2:17">
      <c r="B31" s="286" t="s">
        <v>99</v>
      </c>
      <c r="C31" s="57">
        <f t="shared" ref="C31:Q31" si="3">C27-C29</f>
        <v>28015</v>
      </c>
      <c r="D31" s="57">
        <f t="shared" si="3"/>
        <v>30905</v>
      </c>
      <c r="E31" s="57">
        <f t="shared" si="3"/>
        <v>31747</v>
      </c>
      <c r="F31" s="57">
        <f t="shared" si="3"/>
        <v>34424</v>
      </c>
      <c r="G31" s="291">
        <f t="shared" si="3"/>
        <v>37378</v>
      </c>
      <c r="H31" s="292">
        <f ca="1" t="shared" si="3"/>
        <v>71304.3465553981</v>
      </c>
      <c r="I31" s="292">
        <f ca="1" t="shared" si="3"/>
        <v>78392.6285047074</v>
      </c>
      <c r="J31" s="292">
        <f ca="1" t="shared" si="3"/>
        <v>85410.544049717</v>
      </c>
      <c r="K31" s="292">
        <f ca="1" t="shared" si="3"/>
        <v>92109.3573121846</v>
      </c>
      <c r="L31" s="292">
        <f ca="1" t="shared" si="3"/>
        <v>98605.0337610754</v>
      </c>
      <c r="M31" s="292">
        <f ca="1" t="shared" si="3"/>
        <v>104641.726215815</v>
      </c>
      <c r="N31" s="292">
        <f ca="1" t="shared" si="3"/>
        <v>109960.68702089</v>
      </c>
      <c r="O31" s="292">
        <f ca="1" t="shared" si="3"/>
        <v>114693.994157912</v>
      </c>
      <c r="P31" s="292">
        <f ca="1" t="shared" si="3"/>
        <v>118598.86822031</v>
      </c>
      <c r="Q31" s="292">
        <f ca="1" t="shared" si="3"/>
        <v>121441.261154537</v>
      </c>
    </row>
    <row r="32" ht="14.25" customHeight="1" spans="2:17">
      <c r="B32" s="286"/>
      <c r="C32" s="57"/>
      <c r="D32" s="57"/>
      <c r="E32" s="57"/>
      <c r="F32" s="57"/>
      <c r="G32" s="291"/>
      <c r="H32" s="292"/>
      <c r="I32" s="292"/>
      <c r="J32" s="292"/>
      <c r="K32" s="292"/>
      <c r="L32" s="292"/>
      <c r="M32" s="292"/>
      <c r="N32" s="292"/>
      <c r="O32" s="292"/>
      <c r="P32" s="292"/>
      <c r="Q32" s="292"/>
    </row>
    <row r="33" ht="13.5" customHeight="1" spans="2:17">
      <c r="B33" s="284" t="s">
        <v>86</v>
      </c>
      <c r="C33" s="66">
        <f>'P&amp;L Input'!C12</f>
        <v>2295</v>
      </c>
      <c r="D33" s="66">
        <f>'P&amp;L Input'!D12</f>
        <v>2701</v>
      </c>
      <c r="E33" s="66">
        <f>'P&amp;L Input'!E12</f>
        <v>4711</v>
      </c>
      <c r="F33" s="66">
        <f>'P&amp;L Input'!F12</f>
        <v>3600</v>
      </c>
      <c r="G33" s="66">
        <f>'P&amp;L Input'!G12</f>
        <v>4322</v>
      </c>
      <c r="H33" s="293">
        <f>'Revenue Buildup'!H18</f>
        <v>4452.55396006543</v>
      </c>
      <c r="I33" s="293">
        <f>'Revenue Buildup'!I18</f>
        <v>4876.82911921309</v>
      </c>
      <c r="J33" s="293">
        <f>'Revenue Buildup'!J18</f>
        <v>5296.89243724094</v>
      </c>
      <c r="K33" s="293">
        <f>'Revenue Buildup'!K18</f>
        <v>5705.23847637471</v>
      </c>
      <c r="L33" s="293">
        <f>'Revenue Buildup'!L18</f>
        <v>6094.04272807253</v>
      </c>
      <c r="M33" s="293">
        <f>'Revenue Buildup'!M18</f>
        <v>6455.37410149649</v>
      </c>
      <c r="N33" s="293">
        <f>'Revenue Buildup'!N18</f>
        <v>6781.42320981919</v>
      </c>
      <c r="O33" s="293">
        <f>'Revenue Buildup'!O18</f>
        <v>7064.73934385793</v>
      </c>
      <c r="P33" s="293">
        <f>'Revenue Buildup'!P18</f>
        <v>7298.46890993939</v>
      </c>
      <c r="Q33" s="293">
        <f>'Revenue Buildup'!Q18</f>
        <v>7476.5880639571</v>
      </c>
    </row>
    <row r="34" ht="14.25" customHeight="1" spans="2:17">
      <c r="B34" s="284" t="s">
        <v>100</v>
      </c>
      <c r="C34" s="66">
        <f>'P&amp;L Input'!C32</f>
        <v>200</v>
      </c>
      <c r="D34" s="66">
        <f>'P&amp;L Input'!D32</f>
        <v>284</v>
      </c>
      <c r="E34" s="66">
        <f>'P&amp;L Input'!E32</f>
        <v>470</v>
      </c>
      <c r="F34" s="66">
        <f>'P&amp;L Input'!F32</f>
        <v>416</v>
      </c>
      <c r="G34" s="66">
        <f>'P&amp;L Input'!G32</f>
        <v>416</v>
      </c>
      <c r="H34" s="16">
        <f>'Cost Buildup'!H34</f>
        <v>8727.00508502663</v>
      </c>
      <c r="I34" s="16">
        <f>'Cost Buildup'!I34</f>
        <v>9558.58433247446</v>
      </c>
      <c r="J34" s="16">
        <f>'Cost Buildup'!J34</f>
        <v>10381.9083719676</v>
      </c>
      <c r="K34" s="16">
        <f>'Cost Buildup'!K34</f>
        <v>11182.2665466091</v>
      </c>
      <c r="L34" s="16">
        <f>'Cost Buildup'!L34</f>
        <v>11944.3228208462</v>
      </c>
      <c r="M34" s="16">
        <f>'Cost Buildup'!M34</f>
        <v>12652.5322578418</v>
      </c>
      <c r="N34" s="16">
        <f>'Cost Buildup'!N34</f>
        <v>13291.5884606012</v>
      </c>
      <c r="O34" s="16">
        <f>'Cost Buildup'!O34</f>
        <v>13846.8880402586</v>
      </c>
      <c r="P34" s="16">
        <f>'Cost Buildup'!P34</f>
        <v>14304.9979542559</v>
      </c>
      <c r="Q34" s="16">
        <f>'Cost Buildup'!Q34</f>
        <v>14654.1114690599</v>
      </c>
    </row>
    <row r="35" ht="13.5" customHeight="1" spans="2:17">
      <c r="B35" s="284"/>
      <c r="C35" s="66"/>
      <c r="D35" s="66"/>
      <c r="E35" s="66"/>
      <c r="F35" s="66"/>
      <c r="G35" s="66"/>
      <c r="H35" s="16"/>
      <c r="I35" s="16"/>
      <c r="J35" s="16"/>
      <c r="K35" s="16"/>
      <c r="L35" s="16"/>
      <c r="M35" s="16"/>
      <c r="N35" s="16"/>
      <c r="O35" s="16"/>
      <c r="P35" s="16"/>
      <c r="Q35" s="16"/>
    </row>
    <row r="36" s="241" customFormat="1" ht="14.25" customHeight="1" spans="2:17">
      <c r="B36" s="294" t="s">
        <v>101</v>
      </c>
      <c r="C36" s="295">
        <f>C31+C33-C34</f>
        <v>30110</v>
      </c>
      <c r="D36" s="295">
        <f>D31+D33-D34</f>
        <v>33322</v>
      </c>
      <c r="E36" s="295">
        <f>E31+E33-E34</f>
        <v>35988</v>
      </c>
      <c r="F36" s="295">
        <f>F31+F33-F34</f>
        <v>37608</v>
      </c>
      <c r="G36" s="295">
        <f>G31+G33-G34</f>
        <v>41284</v>
      </c>
      <c r="H36" s="296">
        <f ca="1" t="shared" ref="H36:Q36" si="4">H31+H33-H34</f>
        <v>67029.8954304369</v>
      </c>
      <c r="I36" s="296">
        <f ca="1" t="shared" si="4"/>
        <v>73710.873291446</v>
      </c>
      <c r="J36" s="296">
        <f ca="1" t="shared" si="4"/>
        <v>80325.5281149903</v>
      </c>
      <c r="K36" s="296">
        <f ca="1" t="shared" si="4"/>
        <v>86632.3292419502</v>
      </c>
      <c r="L36" s="296">
        <f ca="1" t="shared" si="4"/>
        <v>92754.7536683017</v>
      </c>
      <c r="M36" s="296">
        <f ca="1" t="shared" si="4"/>
        <v>98444.5680594702</v>
      </c>
      <c r="N36" s="296">
        <f ca="1" t="shared" si="4"/>
        <v>103450.521770108</v>
      </c>
      <c r="O36" s="296">
        <f ca="1" t="shared" si="4"/>
        <v>107911.845461512</v>
      </c>
      <c r="P36" s="296">
        <f ca="1" t="shared" si="4"/>
        <v>111592.339175994</v>
      </c>
      <c r="Q36" s="296">
        <f ca="1" t="shared" si="4"/>
        <v>114263.737749434</v>
      </c>
    </row>
    <row r="37" ht="13.5" customHeight="1" spans="2:17">
      <c r="B37" s="284"/>
      <c r="C37" s="66"/>
      <c r="D37" s="66"/>
      <c r="E37" s="66"/>
      <c r="F37" s="66"/>
      <c r="G37" s="66"/>
      <c r="H37" s="16"/>
      <c r="I37" s="16"/>
      <c r="J37" s="16"/>
      <c r="K37" s="16"/>
      <c r="L37" s="16"/>
      <c r="M37" s="16"/>
      <c r="N37" s="16"/>
      <c r="O37" s="16"/>
      <c r="P37" s="16"/>
      <c r="Q37" s="16"/>
    </row>
    <row r="38" ht="14.25" customHeight="1" spans="2:17">
      <c r="B38" s="284" t="s">
        <v>102</v>
      </c>
      <c r="C38" s="297">
        <f>'P&amp;L Input'!C36</f>
        <v>0</v>
      </c>
      <c r="D38" s="297">
        <f>'P&amp;L Input'!D36</f>
        <v>0</v>
      </c>
      <c r="E38" s="297">
        <f>'P&amp;L Input'!E36</f>
        <v>0</v>
      </c>
      <c r="F38" s="297">
        <f>'P&amp;L Input'!F36</f>
        <v>0</v>
      </c>
      <c r="G38" s="297">
        <f>'P&amp;L Input'!G36</f>
        <v>1289</v>
      </c>
      <c r="H38" s="16">
        <v>0</v>
      </c>
      <c r="I38" s="16">
        <f t="shared" ref="I38:Q38" si="5">H38</f>
        <v>0</v>
      </c>
      <c r="J38" s="16">
        <f t="shared" si="5"/>
        <v>0</v>
      </c>
      <c r="K38" s="16">
        <f t="shared" si="5"/>
        <v>0</v>
      </c>
      <c r="L38" s="16">
        <f t="shared" si="5"/>
        <v>0</v>
      </c>
      <c r="M38" s="16">
        <f t="shared" si="5"/>
        <v>0</v>
      </c>
      <c r="N38" s="16">
        <f t="shared" si="5"/>
        <v>0</v>
      </c>
      <c r="O38" s="16">
        <f t="shared" si="5"/>
        <v>0</v>
      </c>
      <c r="P38" s="16">
        <f t="shared" si="5"/>
        <v>0</v>
      </c>
      <c r="Q38" s="16">
        <f t="shared" si="5"/>
        <v>0</v>
      </c>
    </row>
    <row r="39" ht="13.5" customHeight="1" spans="2:17">
      <c r="B39" s="284"/>
      <c r="C39" s="14"/>
      <c r="D39" s="14"/>
      <c r="E39" s="14"/>
      <c r="F39" s="14"/>
      <c r="G39" s="14"/>
      <c r="H39" s="13"/>
      <c r="I39" s="13"/>
      <c r="J39" s="13"/>
      <c r="K39" s="13"/>
      <c r="L39" s="13"/>
      <c r="M39" s="13"/>
      <c r="N39" s="13"/>
      <c r="O39" s="13"/>
      <c r="P39" s="13"/>
      <c r="Q39" s="13"/>
    </row>
    <row r="40" ht="14.25" customHeight="1" spans="2:17">
      <c r="B40" s="286" t="s">
        <v>103</v>
      </c>
      <c r="C40" s="57">
        <f t="shared" ref="C40:Q40" si="6">C36-C38</f>
        <v>30110</v>
      </c>
      <c r="D40" s="57">
        <f t="shared" si="6"/>
        <v>33322</v>
      </c>
      <c r="E40" s="57">
        <f t="shared" si="6"/>
        <v>35988</v>
      </c>
      <c r="F40" s="57">
        <f t="shared" si="6"/>
        <v>37608</v>
      </c>
      <c r="G40" s="57">
        <f t="shared" si="6"/>
        <v>39995</v>
      </c>
      <c r="H40" s="287">
        <f ca="1" t="shared" si="6"/>
        <v>67029.8954304369</v>
      </c>
      <c r="I40" s="287">
        <f ca="1" t="shared" si="6"/>
        <v>73710.873291446</v>
      </c>
      <c r="J40" s="287">
        <f ca="1" t="shared" si="6"/>
        <v>80325.5281149903</v>
      </c>
      <c r="K40" s="287">
        <f ca="1" t="shared" si="6"/>
        <v>86632.3292419502</v>
      </c>
      <c r="L40" s="287">
        <f ca="1" t="shared" si="6"/>
        <v>92754.7536683017</v>
      </c>
      <c r="M40" s="287">
        <f ca="1" t="shared" si="6"/>
        <v>98444.5680594702</v>
      </c>
      <c r="N40" s="287">
        <f ca="1" t="shared" si="6"/>
        <v>103450.521770108</v>
      </c>
      <c r="O40" s="287">
        <f ca="1" t="shared" si="6"/>
        <v>107911.845461512</v>
      </c>
      <c r="P40" s="287">
        <f ca="1" t="shared" si="6"/>
        <v>111592.339175994</v>
      </c>
      <c r="Q40" s="287">
        <f ca="1" t="shared" si="6"/>
        <v>114263.737749434</v>
      </c>
    </row>
    <row r="41" ht="13.5" customHeight="1" spans="2:17">
      <c r="B41" s="284"/>
      <c r="C41" s="14"/>
      <c r="D41" s="14"/>
      <c r="E41" s="14"/>
      <c r="F41" s="14"/>
      <c r="G41" s="14"/>
      <c r="H41" s="13"/>
      <c r="I41" s="13"/>
      <c r="J41" s="13"/>
      <c r="K41" s="13"/>
      <c r="L41" s="13"/>
      <c r="M41" s="13"/>
      <c r="N41" s="13"/>
      <c r="O41" s="13"/>
      <c r="P41" s="13"/>
      <c r="Q41" s="13"/>
    </row>
    <row r="42" ht="14.25" customHeight="1" spans="2:17">
      <c r="B42" s="284" t="s">
        <v>230</v>
      </c>
      <c r="C42" s="15">
        <f>'P&amp;L Input'!C40</f>
        <v>7964</v>
      </c>
      <c r="D42" s="15">
        <f>'P&amp;L Input'!D40</f>
        <v>9214</v>
      </c>
      <c r="E42" s="15">
        <f>'P&amp;L Input'!E40</f>
        <v>9740</v>
      </c>
      <c r="F42" s="15">
        <f>'P&amp;L Input'!F40</f>
        <v>10858</v>
      </c>
      <c r="G42" s="15">
        <f>'P&amp;L Input'!G40</f>
        <v>10521</v>
      </c>
      <c r="H42" s="16">
        <f ca="1">H40*'Cost Buildup'!H37</f>
        <v>17833.8320246743</v>
      </c>
      <c r="I42" s="16">
        <f ca="1">I40*'Cost Buildup'!I37</f>
        <v>19832.4914655094</v>
      </c>
      <c r="J42" s="16">
        <f ca="1">J40*'Cost Buildup'!J37</f>
        <v>21853.1930683946</v>
      </c>
      <c r="K42" s="16">
        <f ca="1">K40*'Cost Buildup'!K37</f>
        <v>23828.9050144003</v>
      </c>
      <c r="L42" s="16">
        <f ca="1">L40*'Cost Buildup'!L37</f>
        <v>25791.190372263</v>
      </c>
      <c r="M42" s="16">
        <f ca="1">M40*'Cost Buildup'!M37</f>
        <v>27668.6218163615</v>
      </c>
      <c r="N42" s="16">
        <f ca="1">N40*'Cost Buildup'!N37</f>
        <v>29385.9361301515</v>
      </c>
      <c r="O42" s="16">
        <f ca="1">O40*'Cost Buildup'!O37</f>
        <v>30976.9458262822</v>
      </c>
      <c r="P42" s="16">
        <f ca="1">P40*'Cost Buildup'!P37</f>
        <v>32368.2375750697</v>
      </c>
      <c r="Q42" s="16">
        <f ca="1">Q40*'Cost Buildup'!Q37</f>
        <v>33485.8890011366</v>
      </c>
    </row>
    <row r="43" ht="13.5" customHeight="1" spans="2:17">
      <c r="B43" s="284"/>
      <c r="C43" s="14"/>
      <c r="D43" s="14"/>
      <c r="E43" s="14"/>
      <c r="F43" s="14"/>
      <c r="G43" s="14"/>
      <c r="H43" s="13"/>
      <c r="I43" s="13"/>
      <c r="J43" s="13"/>
      <c r="K43" s="13"/>
      <c r="L43" s="13"/>
      <c r="M43" s="13"/>
      <c r="N43" s="13"/>
      <c r="O43" s="13"/>
      <c r="P43" s="13"/>
      <c r="Q43" s="13"/>
    </row>
    <row r="44" ht="14.25" customHeight="1" spans="2:17">
      <c r="B44" s="298" t="s">
        <v>105</v>
      </c>
      <c r="C44" s="299">
        <f t="shared" ref="C44:Q44" si="7">C40-C42</f>
        <v>22146</v>
      </c>
      <c r="D44" s="299">
        <f t="shared" si="7"/>
        <v>24108</v>
      </c>
      <c r="E44" s="299">
        <f t="shared" si="7"/>
        <v>26248</v>
      </c>
      <c r="F44" s="299">
        <f t="shared" si="7"/>
        <v>26750</v>
      </c>
      <c r="G44" s="299">
        <f t="shared" si="7"/>
        <v>29474</v>
      </c>
      <c r="H44" s="274">
        <f ca="1" t="shared" si="7"/>
        <v>49196.0634057627</v>
      </c>
      <c r="I44" s="274">
        <f ca="1" t="shared" si="7"/>
        <v>53878.3818259366</v>
      </c>
      <c r="J44" s="274">
        <f ca="1" t="shared" si="7"/>
        <v>58472.3350465957</v>
      </c>
      <c r="K44" s="274">
        <f ca="1" t="shared" si="7"/>
        <v>62803.4242275499</v>
      </c>
      <c r="L44" s="274">
        <f ca="1" t="shared" si="7"/>
        <v>66963.5632960388</v>
      </c>
      <c r="M44" s="274">
        <f ca="1" t="shared" si="7"/>
        <v>70775.9462431087</v>
      </c>
      <c r="N44" s="274">
        <f ca="1" t="shared" si="7"/>
        <v>74064.5856399566</v>
      </c>
      <c r="O44" s="274">
        <f ca="1" t="shared" si="7"/>
        <v>76934.8996352293</v>
      </c>
      <c r="P44" s="274">
        <f ca="1" t="shared" si="7"/>
        <v>79224.1016009241</v>
      </c>
      <c r="Q44" s="274">
        <f ca="1" t="shared" si="7"/>
        <v>80777.8487482978</v>
      </c>
    </row>
    <row r="45" ht="14.25" customHeight="1" spans="2:17">
      <c r="B45" s="300"/>
      <c r="C45" s="301"/>
      <c r="D45" s="301"/>
      <c r="E45" s="301"/>
      <c r="F45" s="301"/>
      <c r="G45" s="302"/>
      <c r="H45" s="287"/>
      <c r="I45" s="287"/>
      <c r="J45" s="287"/>
      <c r="K45" s="287"/>
      <c r="L45" s="287"/>
      <c r="M45" s="287"/>
      <c r="N45" s="287"/>
      <c r="O45" s="287"/>
      <c r="P45" s="287"/>
      <c r="Q45" s="287"/>
    </row>
    <row r="46" s="280" customFormat="1" ht="14.25" customHeight="1" spans="2:17">
      <c r="B46" s="303" t="s">
        <v>299</v>
      </c>
      <c r="C46" s="14">
        <f>C44/420.95</f>
        <v>52.609573583561</v>
      </c>
      <c r="D46" s="14">
        <f>D44/420.95</f>
        <v>57.2704596745457</v>
      </c>
      <c r="E46" s="14">
        <f>E44/420.95</f>
        <v>62.3541988359663</v>
      </c>
      <c r="F46" s="14">
        <f>F44/420.95</f>
        <v>63.5467395177575</v>
      </c>
      <c r="G46" s="14">
        <f>G44/420.95</f>
        <v>70.0178168428555</v>
      </c>
      <c r="H46" s="16">
        <f ca="1" t="shared" ref="H46:Q46" si="8">(H44)/30868597*10^7</f>
        <v>15937.2528028283</v>
      </c>
      <c r="I46" s="16">
        <f ca="1" t="shared" si="8"/>
        <v>17454.1077542127</v>
      </c>
      <c r="J46" s="16">
        <f ca="1" t="shared" si="8"/>
        <v>18942.3364614193</v>
      </c>
      <c r="K46" s="16">
        <f ca="1" t="shared" si="8"/>
        <v>20345.4093581091</v>
      </c>
      <c r="L46" s="16">
        <f ca="1" t="shared" si="8"/>
        <v>21693.1023123723</v>
      </c>
      <c r="M46" s="16">
        <f ca="1" t="shared" si="8"/>
        <v>22928.1383417292</v>
      </c>
      <c r="N46" s="16">
        <f ca="1" t="shared" si="8"/>
        <v>23993.5056458694</v>
      </c>
      <c r="O46" s="16">
        <f ca="1" t="shared" si="8"/>
        <v>24923.3548370304</v>
      </c>
      <c r="P46" s="16">
        <f ca="1" t="shared" si="8"/>
        <v>25664.950564784</v>
      </c>
      <c r="Q46" s="16">
        <f ca="1" t="shared" si="8"/>
        <v>26168.2928927084</v>
      </c>
    </row>
    <row r="47" ht="13.5" customHeight="1" spans="2:17">
      <c r="B47" s="286"/>
      <c r="C47" s="304"/>
      <c r="D47" s="304"/>
      <c r="E47" s="304"/>
      <c r="F47" s="305"/>
      <c r="G47" s="304"/>
      <c r="H47" s="287"/>
      <c r="I47" s="287"/>
      <c r="J47" s="287"/>
      <c r="K47" s="287"/>
      <c r="L47" s="287"/>
      <c r="M47" s="287"/>
      <c r="N47" s="287"/>
      <c r="O47" s="287"/>
      <c r="P47" s="287"/>
      <c r="Q47" s="287"/>
    </row>
    <row r="48" s="14" customFormat="1" ht="14.25" customHeight="1" spans="2:17">
      <c r="B48" s="306" t="s">
        <v>300</v>
      </c>
      <c r="C48" s="307">
        <v>13039</v>
      </c>
      <c r="D48" s="66">
        <v>14203</v>
      </c>
      <c r="E48" s="66">
        <v>19093</v>
      </c>
      <c r="F48" s="66">
        <v>17814</v>
      </c>
      <c r="G48" s="66">
        <v>19651</v>
      </c>
      <c r="H48" s="16">
        <f ca="1" t="shared" ref="H48:Q48" si="9">H44*H49</f>
        <v>31859.2719958982</v>
      </c>
      <c r="I48" s="16">
        <f ca="1" t="shared" si="9"/>
        <v>34891.5320141307</v>
      </c>
      <c r="J48" s="16">
        <f ca="1" t="shared" si="9"/>
        <v>37866.5669063792</v>
      </c>
      <c r="K48" s="16">
        <f ca="1" t="shared" si="9"/>
        <v>40671.3715737044</v>
      </c>
      <c r="L48" s="16">
        <f ca="1" t="shared" si="9"/>
        <v>43365.4692910479</v>
      </c>
      <c r="M48" s="16">
        <f ca="1" t="shared" si="9"/>
        <v>45834.3608416063</v>
      </c>
      <c r="N48" s="16">
        <f ca="1" t="shared" si="9"/>
        <v>47964.0771194403</v>
      </c>
      <c r="O48" s="16">
        <f ca="1" t="shared" si="9"/>
        <v>49822.886706191</v>
      </c>
      <c r="P48" s="16">
        <f ca="1" t="shared" si="9"/>
        <v>51305.3693080422</v>
      </c>
      <c r="Q48" s="16">
        <f ca="1" t="shared" si="9"/>
        <v>52311.5728445478</v>
      </c>
    </row>
    <row r="49" s="281" customFormat="1" ht="14.25" customHeight="1" spans="2:17">
      <c r="B49" s="308" t="s">
        <v>301</v>
      </c>
      <c r="C49" s="22">
        <f>C48/C44</f>
        <v>0.588774496523074</v>
      </c>
      <c r="D49" s="22">
        <f>D48/D44</f>
        <v>0.589140534262485</v>
      </c>
      <c r="E49" s="22">
        <f>E48/E44</f>
        <v>0.727407802499238</v>
      </c>
      <c r="F49" s="22">
        <f>F48/F44</f>
        <v>0.665943925233645</v>
      </c>
      <c r="G49" s="22">
        <f>G48/G44</f>
        <v>0.666723213679853</v>
      </c>
      <c r="H49" s="309">
        <f>AVERAGE(C49:G49)</f>
        <v>0.647597994439659</v>
      </c>
      <c r="I49" s="309">
        <f t="shared" ref="I49:Q49" si="10">H49</f>
        <v>0.647597994439659</v>
      </c>
      <c r="J49" s="309">
        <f t="shared" si="10"/>
        <v>0.647597994439659</v>
      </c>
      <c r="K49" s="309">
        <f t="shared" si="10"/>
        <v>0.647597994439659</v>
      </c>
      <c r="L49" s="309">
        <f t="shared" si="10"/>
        <v>0.647597994439659</v>
      </c>
      <c r="M49" s="309">
        <f t="shared" si="10"/>
        <v>0.647597994439659</v>
      </c>
      <c r="N49" s="309">
        <f t="shared" si="10"/>
        <v>0.647597994439659</v>
      </c>
      <c r="O49" s="309">
        <f t="shared" si="10"/>
        <v>0.647597994439659</v>
      </c>
      <c r="P49" s="309">
        <f t="shared" si="10"/>
        <v>0.647597994439659</v>
      </c>
      <c r="Q49" s="309">
        <f t="shared" si="10"/>
        <v>0.647597994439659</v>
      </c>
    </row>
    <row r="50" ht="13.5" customHeight="1" spans="2:17">
      <c r="C50" s="310"/>
      <c r="D50" s="310"/>
      <c r="E50" s="310"/>
      <c r="F50" s="310"/>
      <c r="G50" s="310"/>
    </row>
    <row r="51" s="14" customFormat="1" ht="13.5" customHeight="1"/>
    <row r="52" ht="13.5" customHeight="1" spans="2:17">
      <c r="D52" s="22"/>
      <c r="E52" s="22"/>
      <c r="F52" s="22"/>
      <c r="G52" s="22"/>
    </row>
  </sheetData>
  <mergeCells count="4">
    <mergeCell ref="P6:Q6"/>
    <mergeCell ref="B7:Q7"/>
    <mergeCell ref="B8:B9"/>
    <mergeCell ref="B2:D4"/>
  </mergeCells>
  <pageMargins left="0.7" right="0.7" top="0.75" bottom="0.75" header="0.511811023622047" footer="0.511811023622047"/>
  <pageSetup paperSize="9" orientation="portrait" horizontalDpi="300" verticalDpi="3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2:R73"/>
  <sheetViews>
    <sheetView showGridLines="0" zoomScale="75" zoomScaleNormal="75" workbookViewId="0">
      <selection activeCell="E49" sqref="E49"/>
    </sheetView>
  </sheetViews>
  <sheetFormatPr defaultColWidth="8.83333333333333" defaultRowHeight="14.4"/>
  <cols>
    <col min="1" max="1" width="5.51851851851852" style="118" customWidth="1"/>
    <col min="2" max="2" width="3.16666666666667" style="118" customWidth="1"/>
    <col min="3" max="3" width="40.8888888888889" style="118" customWidth="1"/>
    <col min="4" max="4" width="16.2962962962963" style="118" customWidth="1"/>
    <col min="5" max="17" width="13.1666666666667" style="118" customWidth="1"/>
    <col min="18" max="18" width="14.3333333333333" style="118" customWidth="1"/>
  </cols>
  <sheetData>
    <row r="2" ht="14.25" customHeight="1" spans="2:18">
      <c r="B2" s="173" t="s">
        <v>21</v>
      </c>
      <c r="C2" s="173"/>
      <c r="D2" s="173"/>
    </row>
    <row r="3" ht="14.25" customHeight="1" spans="2:18">
      <c r="B3" s="173"/>
      <c r="C3" s="173"/>
      <c r="D3" s="173"/>
    </row>
    <row r="4" ht="14.25" customHeight="1" spans="2:18">
      <c r="B4" s="173"/>
      <c r="C4" s="173"/>
      <c r="D4" s="173"/>
    </row>
    <row r="6" ht="10.5" customHeight="1" spans="2:18">
      <c r="C6" s="210"/>
      <c r="D6" s="210"/>
      <c r="E6" s="3"/>
      <c r="F6" s="3"/>
      <c r="G6" s="6"/>
      <c r="H6" s="6"/>
      <c r="Q6" s="5" t="s">
        <v>83</v>
      </c>
      <c r="R6" s="5"/>
    </row>
    <row r="7" ht="15" customHeight="1" spans="2:18">
      <c r="B7" s="261" t="s">
        <v>13</v>
      </c>
      <c r="C7" s="261"/>
      <c r="D7" s="261"/>
      <c r="E7" s="261"/>
      <c r="F7" s="261"/>
      <c r="G7" s="261"/>
      <c r="H7" s="261"/>
      <c r="I7" s="261"/>
      <c r="J7" s="261"/>
      <c r="K7" s="261"/>
      <c r="L7" s="261"/>
      <c r="M7" s="261"/>
      <c r="N7" s="261"/>
      <c r="O7" s="261"/>
      <c r="P7" s="261"/>
      <c r="Q7" s="261"/>
      <c r="R7" s="261"/>
    </row>
    <row r="8" ht="14.25" customHeight="1" spans="2:18">
      <c r="B8" s="262" t="s">
        <v>39</v>
      </c>
      <c r="C8" s="262"/>
      <c r="D8" s="9">
        <f>'Income Statement'!C8</f>
        <v>2022</v>
      </c>
      <c r="E8" s="9">
        <f>'Income Statement'!D8</f>
        <v>2023</v>
      </c>
      <c r="F8" s="9">
        <f>'Income Statement'!E8</f>
        <v>2024</v>
      </c>
      <c r="G8" s="9">
        <f>'Income Statement'!F8</f>
        <v>2025</v>
      </c>
      <c r="H8" s="9">
        <f>'Income Statement'!G8</f>
        <v>2026</v>
      </c>
      <c r="I8" s="10">
        <f>'Income Statement'!H8</f>
        <v>2027</v>
      </c>
      <c r="J8" s="10">
        <f>'Income Statement'!I8</f>
        <v>2028</v>
      </c>
      <c r="K8" s="10">
        <f>'Income Statement'!J8</f>
        <v>2029</v>
      </c>
      <c r="L8" s="10">
        <f>'Income Statement'!K8</f>
        <v>2030</v>
      </c>
      <c r="M8" s="10">
        <f>'Income Statement'!L8</f>
        <v>2031</v>
      </c>
      <c r="N8" s="10">
        <f>'Income Statement'!M8</f>
        <v>2032</v>
      </c>
      <c r="O8" s="10">
        <f>'Income Statement'!N8</f>
        <v>2033</v>
      </c>
      <c r="P8" s="10">
        <f>'Income Statement'!O8</f>
        <v>2034</v>
      </c>
      <c r="Q8" s="10">
        <f>'Income Statement'!P8</f>
        <v>2035</v>
      </c>
      <c r="R8" s="10">
        <f>'Income Statement'!Q8</f>
        <v>2036</v>
      </c>
    </row>
    <row r="9" ht="14.25" customHeight="1" spans="2:18">
      <c r="B9" s="262"/>
      <c r="C9" s="262"/>
      <c r="D9" s="11" t="s">
        <v>84</v>
      </c>
      <c r="E9" s="11" t="s">
        <v>84</v>
      </c>
      <c r="F9" s="11" t="s">
        <v>84</v>
      </c>
      <c r="G9" s="11" t="s">
        <v>84</v>
      </c>
      <c r="H9" s="11" t="s">
        <v>84</v>
      </c>
      <c r="I9" s="12" t="s">
        <v>234</v>
      </c>
      <c r="J9" s="12" t="s">
        <v>235</v>
      </c>
      <c r="K9" s="12" t="s">
        <v>235</v>
      </c>
      <c r="L9" s="12" t="s">
        <v>235</v>
      </c>
      <c r="M9" s="12" t="s">
        <v>235</v>
      </c>
      <c r="N9" s="12" t="s">
        <v>235</v>
      </c>
      <c r="O9" s="12" t="s">
        <v>235</v>
      </c>
      <c r="P9" s="12" t="s">
        <v>235</v>
      </c>
      <c r="Q9" s="12" t="s">
        <v>235</v>
      </c>
      <c r="R9" s="12" t="s">
        <v>235</v>
      </c>
    </row>
    <row r="10" ht="14.25" customHeight="1" spans="2:18">
      <c r="B10" s="263" t="s">
        <v>117</v>
      </c>
      <c r="C10" s="263"/>
      <c r="D10" s="264"/>
      <c r="E10" s="1"/>
      <c r="F10" s="1"/>
      <c r="G10" s="1"/>
      <c r="H10" s="1"/>
      <c r="I10" s="238"/>
      <c r="J10" s="238"/>
      <c r="K10" s="238"/>
      <c r="L10" s="238"/>
      <c r="M10" s="238"/>
      <c r="N10" s="238"/>
      <c r="O10" s="238"/>
      <c r="P10" s="238"/>
      <c r="Q10" s="238"/>
      <c r="R10" s="238"/>
    </row>
    <row r="11" ht="14.25" customHeight="1" spans="2:18">
      <c r="B11" s="3"/>
      <c r="C11" s="213"/>
      <c r="D11" s="3"/>
      <c r="E11" s="3"/>
      <c r="F11" s="3"/>
      <c r="G11" s="3"/>
      <c r="H11" s="3"/>
      <c r="I11" s="238"/>
      <c r="J11" s="238"/>
      <c r="K11" s="238"/>
      <c r="L11" s="238"/>
      <c r="M11" s="238"/>
      <c r="N11" s="238"/>
      <c r="O11" s="238"/>
      <c r="P11" s="238"/>
      <c r="Q11" s="238"/>
      <c r="R11" s="238"/>
    </row>
    <row r="12" ht="14.25" customHeight="1" spans="2:18">
      <c r="B12" s="265" t="s">
        <v>118</v>
      </c>
      <c r="C12" s="265"/>
      <c r="D12" s="66"/>
      <c r="E12" s="66"/>
      <c r="F12" s="66"/>
      <c r="G12" s="66"/>
      <c r="H12" s="66"/>
      <c r="I12" s="266"/>
      <c r="J12" s="266"/>
      <c r="K12" s="266"/>
      <c r="L12" s="266"/>
      <c r="M12" s="266"/>
      <c r="N12" s="266"/>
      <c r="O12" s="266"/>
      <c r="P12" s="266"/>
      <c r="Q12" s="266"/>
      <c r="R12" s="266"/>
    </row>
    <row r="13" ht="14.25" customHeight="1" spans="2:18">
      <c r="B13" s="3"/>
      <c r="C13" s="213" t="str">
        <f>'BS Input'!C12</f>
        <v>PPE</v>
      </c>
      <c r="D13" s="66">
        <f>'BS Input'!D12</f>
        <v>13075</v>
      </c>
      <c r="E13" s="66">
        <f>'BS Input'!E12</f>
        <v>13346</v>
      </c>
      <c r="F13" s="66">
        <f>'BS Input'!F12</f>
        <v>12370</v>
      </c>
      <c r="G13" s="66">
        <f>'BS Input'!G12</f>
        <v>11778</v>
      </c>
      <c r="H13" s="66">
        <f>'BS Input'!H12</f>
        <v>12651</v>
      </c>
      <c r="I13" s="16">
        <f>FAS!H104</f>
        <v>13547.48</v>
      </c>
      <c r="J13" s="16">
        <f>FAS!I104</f>
        <v>14443.96</v>
      </c>
      <c r="K13" s="16">
        <f>FAS!J104</f>
        <v>15340.44</v>
      </c>
      <c r="L13" s="16">
        <f>FAS!K104</f>
        <v>16272.7792</v>
      </c>
      <c r="M13" s="16">
        <f>FAS!L104</f>
        <v>17205.1184</v>
      </c>
      <c r="N13" s="16">
        <f>FAS!M104</f>
        <v>18137.4576</v>
      </c>
      <c r="O13" s="16">
        <f>FAS!N104</f>
        <v>19107.090368</v>
      </c>
      <c r="P13" s="16">
        <f>FAS!O104</f>
        <v>20076.723136</v>
      </c>
      <c r="Q13" s="16">
        <f>FAS!P104</f>
        <v>21046.355904</v>
      </c>
      <c r="R13" s="16">
        <f>FAS!Q104</f>
        <v>22054.77398272</v>
      </c>
    </row>
    <row r="14" ht="14.25" customHeight="1" spans="2:18">
      <c r="B14" s="3"/>
      <c r="C14" s="213" t="str">
        <f>'BS Input'!C13</f>
        <v>ROU Assets</v>
      </c>
      <c r="D14" s="66">
        <f>'BS Input'!D13</f>
        <v>4823</v>
      </c>
      <c r="E14" s="66">
        <f>'BS Input'!E13</f>
        <v>6882</v>
      </c>
      <c r="F14" s="66">
        <f>'BS Input'!F13</f>
        <v>6552</v>
      </c>
      <c r="G14" s="66">
        <f>'BS Input'!G13</f>
        <v>6311</v>
      </c>
      <c r="H14" s="66">
        <f>'BS Input'!H13</f>
        <v>6177</v>
      </c>
      <c r="I14" s="266">
        <f>FAS!H121</f>
        <v>6037.64</v>
      </c>
      <c r="J14" s="266">
        <f>FAS!I121</f>
        <v>5898.28</v>
      </c>
      <c r="K14" s="266">
        <f>FAS!J121</f>
        <v>5758.92</v>
      </c>
      <c r="L14" s="266">
        <f>FAS!K121</f>
        <v>5613.9856</v>
      </c>
      <c r="M14" s="266">
        <f>FAS!L121</f>
        <v>5469.0512</v>
      </c>
      <c r="N14" s="266">
        <f>FAS!M121</f>
        <v>5324.1168</v>
      </c>
      <c r="O14" s="266">
        <f>FAS!N121</f>
        <v>5173.385024</v>
      </c>
      <c r="P14" s="266">
        <f>FAS!O121</f>
        <v>5022.653248</v>
      </c>
      <c r="Q14" s="266">
        <f>FAS!P121</f>
        <v>4871.921472</v>
      </c>
      <c r="R14" s="266">
        <f>FAS!Q121</f>
        <v>4715.16042496</v>
      </c>
    </row>
    <row r="15" ht="14.25" customHeight="1" spans="2:18">
      <c r="B15" s="3"/>
      <c r="C15" s="213" t="str">
        <f>'BS Input'!C14</f>
        <v>Capital WIP</v>
      </c>
      <c r="D15" s="66">
        <f>'BS Input'!D14</f>
        <v>416</v>
      </c>
      <c r="E15" s="66">
        <f>'BS Input'!E14</f>
        <v>288</v>
      </c>
      <c r="F15" s="66">
        <f>'BS Input'!F14</f>
        <v>293</v>
      </c>
      <c r="G15" s="66">
        <f>'BS Input'!G14</f>
        <v>814</v>
      </c>
      <c r="H15" s="66">
        <f>'BS Input'!H14</f>
        <v>526</v>
      </c>
      <c r="I15" s="266">
        <f>FAS!H164</f>
        <v>548</v>
      </c>
      <c r="J15" s="266">
        <f>FAS!I164</f>
        <v>570.11</v>
      </c>
      <c r="K15" s="266">
        <f>FAS!J164</f>
        <v>592.33055</v>
      </c>
      <c r="L15" s="266">
        <f>FAS!K164</f>
        <v>614.66220275</v>
      </c>
      <c r="M15" s="266">
        <f>FAS!L164</f>
        <v>637.10551376375</v>
      </c>
      <c r="N15" s="266">
        <f>FAS!M164</f>
        <v>659.661041332569</v>
      </c>
      <c r="O15" s="266">
        <f>FAS!N164</f>
        <v>682.329346539232</v>
      </c>
      <c r="P15" s="266">
        <f>FAS!O164</f>
        <v>705.110993271928</v>
      </c>
      <c r="Q15" s="266">
        <f>FAS!P164</f>
        <v>728.006548238287</v>
      </c>
      <c r="R15" s="266">
        <f>FAS!Q164</f>
        <v>751.016580979479</v>
      </c>
    </row>
    <row r="16" ht="14.25" customHeight="1" spans="2:18">
      <c r="B16" s="3"/>
      <c r="C16" s="213" t="str">
        <f>'BS Input'!C15</f>
        <v>Goodwill</v>
      </c>
      <c r="D16" s="66">
        <f>'BS Input'!D15</f>
        <v>6195</v>
      </c>
      <c r="E16" s="66">
        <f>'BS Input'!E15</f>
        <v>7248</v>
      </c>
      <c r="F16" s="66">
        <f>'BS Input'!F15</f>
        <v>7303</v>
      </c>
      <c r="G16" s="66">
        <f>'BS Input'!G15</f>
        <v>10106</v>
      </c>
      <c r="H16" s="66">
        <f>'BS Input'!H15</f>
        <v>12117</v>
      </c>
      <c r="I16" s="266">
        <f t="shared" ref="I16:R16" si="0">H16</f>
        <v>12117</v>
      </c>
      <c r="J16" s="266">
        <f t="shared" si="0"/>
        <v>12117</v>
      </c>
      <c r="K16" s="266">
        <f t="shared" si="0"/>
        <v>12117</v>
      </c>
      <c r="L16" s="266">
        <f t="shared" si="0"/>
        <v>12117</v>
      </c>
      <c r="M16" s="266">
        <f t="shared" si="0"/>
        <v>12117</v>
      </c>
      <c r="N16" s="266">
        <f t="shared" si="0"/>
        <v>12117</v>
      </c>
      <c r="O16" s="266">
        <f t="shared" si="0"/>
        <v>12117</v>
      </c>
      <c r="P16" s="266">
        <f t="shared" si="0"/>
        <v>12117</v>
      </c>
      <c r="Q16" s="266">
        <f t="shared" si="0"/>
        <v>12117</v>
      </c>
      <c r="R16" s="266">
        <f t="shared" si="0"/>
        <v>12117</v>
      </c>
    </row>
    <row r="17" ht="14.25" customHeight="1" spans="2:18">
      <c r="B17" s="3"/>
      <c r="C17" s="213" t="str">
        <f>'BS Input'!C16</f>
        <v>Other Intangible assets</v>
      </c>
      <c r="D17" s="66">
        <f>'BS Input'!D16</f>
        <v>1707</v>
      </c>
      <c r="E17" s="66">
        <f>'BS Input'!E16</f>
        <v>1749</v>
      </c>
      <c r="F17" s="66">
        <f>'BS Input'!F16</f>
        <v>1397</v>
      </c>
      <c r="G17" s="66">
        <f>'BS Input'!G16</f>
        <v>2766</v>
      </c>
      <c r="H17" s="66">
        <f>'BS Input'!H16</f>
        <v>2825</v>
      </c>
      <c r="I17" s="266">
        <f>FAS!H158</f>
        <v>2886.36</v>
      </c>
      <c r="J17" s="266">
        <f>FAS!I158</f>
        <v>2947.72</v>
      </c>
      <c r="K17" s="266">
        <f>FAS!J158</f>
        <v>3009.08</v>
      </c>
      <c r="L17" s="266">
        <f>FAS!K158</f>
        <v>3072.8944</v>
      </c>
      <c r="M17" s="266">
        <f>FAS!L158</f>
        <v>3136.7088</v>
      </c>
      <c r="N17" s="266">
        <f>FAS!M158</f>
        <v>3200.5232</v>
      </c>
      <c r="O17" s="266">
        <f>FAS!N158</f>
        <v>3266.890176</v>
      </c>
      <c r="P17" s="266">
        <f>FAS!O158</f>
        <v>3333.257152</v>
      </c>
      <c r="Q17" s="266">
        <f>FAS!P158</f>
        <v>3399.624128</v>
      </c>
      <c r="R17" s="266">
        <f>FAS!Q158</f>
        <v>3468.64578304</v>
      </c>
    </row>
    <row r="18" ht="14.25" customHeight="1" spans="2:18">
      <c r="B18" s="3"/>
      <c r="C18" s="267" t="str">
        <f>'BS Input'!C17</f>
        <v>Financial Assets</v>
      </c>
      <c r="D18" s="66"/>
      <c r="E18" s="66"/>
      <c r="F18" s="66"/>
      <c r="G18" s="66"/>
      <c r="H18" s="66"/>
      <c r="I18" s="266"/>
      <c r="J18" s="266"/>
      <c r="K18" s="266"/>
      <c r="L18" s="266"/>
      <c r="M18" s="266"/>
      <c r="N18" s="266"/>
      <c r="O18" s="266"/>
      <c r="P18" s="266"/>
      <c r="Q18" s="266"/>
      <c r="R18" s="266"/>
    </row>
    <row r="19" ht="14.25" customHeight="1" spans="2:18">
      <c r="B19" s="3"/>
      <c r="C19" s="213" t="str">
        <f>'BS Input'!C18</f>
        <v>Investments</v>
      </c>
      <c r="D19" s="66">
        <f>'BS Input'!D18</f>
        <v>13651</v>
      </c>
      <c r="E19" s="66">
        <f>'BS Input'!E18</f>
        <v>12569</v>
      </c>
      <c r="F19" s="66">
        <f>'BS Input'!F18</f>
        <v>11708</v>
      </c>
      <c r="G19" s="66">
        <f>'BS Input'!G18</f>
        <v>11059</v>
      </c>
      <c r="H19" s="66">
        <f>'BS Input'!H18</f>
        <v>8930</v>
      </c>
      <c r="I19" s="266">
        <f>'BS items '!I13</f>
        <v>15344.304998777</v>
      </c>
      <c r="J19" s="266">
        <f>'BS items '!J13</f>
        <v>16806.4338137798</v>
      </c>
      <c r="K19" s="266">
        <f>'BS items '!K13</f>
        <v>18254.0478636997</v>
      </c>
      <c r="L19" s="266">
        <f>'BS items '!L13</f>
        <v>19661.2820546177</v>
      </c>
      <c r="M19" s="266">
        <f>'BS items '!M13</f>
        <v>21001.1717171306</v>
      </c>
      <c r="N19" s="266">
        <f>'BS items '!N13</f>
        <v>22246.3848799965</v>
      </c>
      <c r="O19" s="266">
        <f>'BS items '!O13</f>
        <v>23370.0089859713</v>
      </c>
      <c r="P19" s="266">
        <f>'BS items '!P13</f>
        <v>24346.3675457451</v>
      </c>
      <c r="Q19" s="266">
        <f>'BS items '!Q13</f>
        <v>25151.8418378821</v>
      </c>
      <c r="R19" s="266">
        <f>'BS items '!R13</f>
        <v>25765.6726077919</v>
      </c>
    </row>
    <row r="20" ht="14.25" customHeight="1" spans="2:18">
      <c r="B20" s="3"/>
      <c r="C20" s="213" t="str">
        <f>'BS Input'!C19</f>
        <v>Loans</v>
      </c>
      <c r="D20" s="66">
        <f>'BS Input'!D19</f>
        <v>34</v>
      </c>
      <c r="E20" s="66">
        <f>'BS Input'!E19</f>
        <v>39</v>
      </c>
      <c r="F20" s="66">
        <f>'BS Input'!F19</f>
        <v>34</v>
      </c>
      <c r="G20" s="66">
        <f>'BS Input'!G19</f>
        <v>16</v>
      </c>
      <c r="H20" s="66">
        <f>'BS Input'!H19</f>
        <v>6</v>
      </c>
      <c r="I20" s="266">
        <f t="shared" ref="I20:R20" si="1">H20</f>
        <v>6</v>
      </c>
      <c r="J20" s="266">
        <f t="shared" si="1"/>
        <v>6</v>
      </c>
      <c r="K20" s="266">
        <f t="shared" si="1"/>
        <v>6</v>
      </c>
      <c r="L20" s="266">
        <f t="shared" si="1"/>
        <v>6</v>
      </c>
      <c r="M20" s="266">
        <f t="shared" si="1"/>
        <v>6</v>
      </c>
      <c r="N20" s="266">
        <f t="shared" si="1"/>
        <v>6</v>
      </c>
      <c r="O20" s="266">
        <f t="shared" si="1"/>
        <v>6</v>
      </c>
      <c r="P20" s="266">
        <f t="shared" si="1"/>
        <v>6</v>
      </c>
      <c r="Q20" s="266">
        <f t="shared" si="1"/>
        <v>6</v>
      </c>
      <c r="R20" s="266">
        <f t="shared" si="1"/>
        <v>6</v>
      </c>
    </row>
    <row r="21" ht="14.25" customHeight="1" spans="2:18">
      <c r="B21" s="3"/>
      <c r="C21" s="213" t="str">
        <f>'BS Input'!C20</f>
        <v>Other financial assets</v>
      </c>
      <c r="D21" s="66">
        <f>'BS Input'!D20</f>
        <v>1460</v>
      </c>
      <c r="E21" s="66">
        <f>'BS Input'!E20</f>
        <v>2798</v>
      </c>
      <c r="F21" s="66">
        <f>'BS Input'!F20</f>
        <v>3105</v>
      </c>
      <c r="G21" s="66">
        <f>'BS Input'!G20</f>
        <v>3511</v>
      </c>
      <c r="H21" s="66">
        <f>'BS Input'!H20</f>
        <v>2776</v>
      </c>
      <c r="I21" s="266">
        <f>'BS items '!I15</f>
        <v>3459.41348161251</v>
      </c>
      <c r="J21" s="266">
        <f>'BS items '!J15</f>
        <v>3789.05422681913</v>
      </c>
      <c r="K21" s="266">
        <f>'BS items '!K15</f>
        <v>4115.42258047634</v>
      </c>
      <c r="L21" s="266">
        <f>'BS items '!L15</f>
        <v>4432.68718986957</v>
      </c>
      <c r="M21" s="266">
        <f>'BS items '!M15</f>
        <v>4734.76880013083</v>
      </c>
      <c r="N21" s="266">
        <f>'BS items '!N15</f>
        <v>5015.50534723694</v>
      </c>
      <c r="O21" s="266">
        <f>'BS items '!O15</f>
        <v>5268.82932514168</v>
      </c>
      <c r="P21" s="266">
        <f>'BS items '!P15</f>
        <v>5488.9519025304</v>
      </c>
      <c r="Q21" s="266">
        <f>'BS items '!Q15</f>
        <v>5670.54817720907</v>
      </c>
      <c r="R21" s="266">
        <f>'BS items '!R15</f>
        <v>5808.93792122314</v>
      </c>
    </row>
    <row r="22" ht="14.25" customHeight="1" spans="2:18">
      <c r="B22" s="3"/>
      <c r="C22" s="213" t="str">
        <f>'BS Input'!C21</f>
        <v>Deferred Tax Assets(net)</v>
      </c>
      <c r="D22" s="66">
        <f>'BS Input'!D21</f>
        <v>1212</v>
      </c>
      <c r="E22" s="66">
        <f>'BS Input'!E21</f>
        <v>1245</v>
      </c>
      <c r="F22" s="66">
        <f>'BS Input'!F21</f>
        <v>454</v>
      </c>
      <c r="G22" s="66">
        <f>'BS Input'!G21</f>
        <v>1108</v>
      </c>
      <c r="H22" s="66">
        <f>'BS Input'!H21</f>
        <v>2264</v>
      </c>
      <c r="I22" s="266">
        <f>'BS items '!I17</f>
        <v>1600.32260164823</v>
      </c>
      <c r="J22" s="266">
        <f>'BS items '!J17</f>
        <v>1752.81421266329</v>
      </c>
      <c r="K22" s="266">
        <f>'BS items '!K17</f>
        <v>1903.79201731037</v>
      </c>
      <c r="L22" s="266">
        <f>'BS items '!L17</f>
        <v>2050.55843532132</v>
      </c>
      <c r="M22" s="266">
        <f>'BS items '!M17</f>
        <v>2190.30120704055</v>
      </c>
      <c r="N22" s="266">
        <f>'BS items '!N17</f>
        <v>2320.16976534691</v>
      </c>
      <c r="O22" s="266">
        <f>'BS items '!O17</f>
        <v>2437.35728558269</v>
      </c>
      <c r="P22" s="266">
        <f>'BS items '!P17</f>
        <v>2539.18585785385</v>
      </c>
      <c r="Q22" s="266">
        <f>'BS items '!Q17</f>
        <v>2623.19218559931</v>
      </c>
      <c r="R22" s="266">
        <f>'BS items '!R17</f>
        <v>2687.21119817447</v>
      </c>
    </row>
    <row r="23" ht="14.25" customHeight="1" spans="2:18">
      <c r="B23" s="3"/>
      <c r="C23" s="213" t="str">
        <f>'BS Input'!C22</f>
        <v>Income tax assets (net)</v>
      </c>
      <c r="D23" s="66">
        <f>'BS Input'!D22</f>
        <v>6098</v>
      </c>
      <c r="E23" s="66">
        <f>'BS Input'!E22</f>
        <v>6453</v>
      </c>
      <c r="F23" s="66">
        <f>'BS Input'!F22</f>
        <v>3045</v>
      </c>
      <c r="G23" s="66">
        <f>'BS Input'!G22</f>
        <v>1622</v>
      </c>
      <c r="H23" s="66">
        <f>'BS Input'!H22</f>
        <v>666</v>
      </c>
      <c r="I23" s="266">
        <f>'BS items '!I19</f>
        <v>4995.88811940175</v>
      </c>
      <c r="J23" s="266">
        <f>'BS items '!J19</f>
        <v>5471.93652801259</v>
      </c>
      <c r="K23" s="266">
        <f>'BS items '!K19</f>
        <v>5943.25913493749</v>
      </c>
      <c r="L23" s="266">
        <f>'BS items '!L19</f>
        <v>6401.43463237339</v>
      </c>
      <c r="M23" s="266">
        <f>'BS items '!M19</f>
        <v>6837.68370633216</v>
      </c>
      <c r="N23" s="266">
        <f>'BS items '!N19</f>
        <v>7243.10745455539</v>
      </c>
      <c r="O23" s="266">
        <f>'BS items '!O19</f>
        <v>7608.94353003486</v>
      </c>
      <c r="P23" s="266">
        <f>'BS items '!P19</f>
        <v>7926.83203195392</v>
      </c>
      <c r="Q23" s="266">
        <f>'BS items '!Q19</f>
        <v>8189.08303953568</v>
      </c>
      <c r="R23" s="266">
        <f>'BS items '!R19</f>
        <v>8388.93763385976</v>
      </c>
    </row>
    <row r="24" ht="14.25" customHeight="1" spans="2:18">
      <c r="B24" s="3"/>
      <c r="C24" s="213" t="str">
        <f>'BS Input'!C23</f>
        <v>Other non-current assets</v>
      </c>
      <c r="D24" s="66">
        <f>'BS Input'!D23</f>
        <v>2029</v>
      </c>
      <c r="E24" s="66">
        <f>'BS Input'!E23</f>
        <v>2318</v>
      </c>
      <c r="F24" s="66">
        <f>'BS Input'!F23</f>
        <v>2121</v>
      </c>
      <c r="G24" s="66">
        <f>'BS Input'!G23</f>
        <v>2713</v>
      </c>
      <c r="H24" s="66">
        <f>'BS Input'!H23</f>
        <v>3540</v>
      </c>
      <c r="I24" s="266">
        <f>'BS items '!I21</f>
        <v>3239.53573793879</v>
      </c>
      <c r="J24" s="266">
        <f>'BS items '!J21</f>
        <v>3548.22476295811</v>
      </c>
      <c r="K24" s="266">
        <f>'BS items '!K21</f>
        <v>3853.84938719699</v>
      </c>
      <c r="L24" s="266">
        <f>'BS items '!L21</f>
        <v>4150.94889437515</v>
      </c>
      <c r="M24" s="266">
        <f>'BS items '!M21</f>
        <v>4433.83042253503</v>
      </c>
      <c r="N24" s="266">
        <f>'BS items '!N21</f>
        <v>4696.72356385212</v>
      </c>
      <c r="O24" s="266">
        <f>'BS items '!O21</f>
        <v>4933.94645844427</v>
      </c>
      <c r="P24" s="266">
        <f>'BS items '!P21</f>
        <v>5140.07820880259</v>
      </c>
      <c r="Q24" s="266">
        <f>'BS items '!Q21</f>
        <v>5310.13235954952</v>
      </c>
      <c r="R24" s="266">
        <f>'BS items '!R21</f>
        <v>5439.72615453259</v>
      </c>
    </row>
    <row r="25" ht="14.25" customHeight="1" spans="2:18">
      <c r="B25" s="3"/>
      <c r="C25" s="213"/>
      <c r="D25" s="66"/>
      <c r="E25" s="66"/>
      <c r="F25" s="66"/>
      <c r="G25" s="66"/>
      <c r="H25" s="66"/>
      <c r="I25" s="266"/>
      <c r="J25" s="266"/>
      <c r="K25" s="266"/>
      <c r="L25" s="266"/>
      <c r="M25" s="266"/>
      <c r="N25" s="266"/>
      <c r="O25" s="266"/>
      <c r="P25" s="266"/>
      <c r="Q25" s="266"/>
      <c r="R25" s="266"/>
    </row>
    <row r="26" s="1" customFormat="1" ht="13.5" customHeight="1" spans="2:18">
      <c r="B26" s="1" t="s">
        <v>302</v>
      </c>
      <c r="C26" s="268"/>
      <c r="D26" s="269">
        <f t="shared" ref="D26:R26" si="2">SUM(D13:D24)</f>
        <v>50700</v>
      </c>
      <c r="E26" s="270">
        <f t="shared" si="2"/>
        <v>54935</v>
      </c>
      <c r="F26" s="270">
        <f t="shared" si="2"/>
        <v>48382</v>
      </c>
      <c r="G26" s="270">
        <f t="shared" si="2"/>
        <v>51804</v>
      </c>
      <c r="H26" s="270">
        <f t="shared" si="2"/>
        <v>52478</v>
      </c>
      <c r="I26" s="271">
        <f t="shared" si="2"/>
        <v>63781.9449393783</v>
      </c>
      <c r="J26" s="271">
        <f t="shared" si="2"/>
        <v>67351.5335442329</v>
      </c>
      <c r="K26" s="271">
        <f t="shared" si="2"/>
        <v>70894.1415336209</v>
      </c>
      <c r="L26" s="271">
        <f t="shared" si="2"/>
        <v>74394.2326093071</v>
      </c>
      <c r="M26" s="271">
        <f t="shared" si="2"/>
        <v>77768.7397669329</v>
      </c>
      <c r="N26" s="271">
        <f t="shared" si="2"/>
        <v>80966.6496523204</v>
      </c>
      <c r="O26" s="271">
        <f t="shared" si="2"/>
        <v>83971.780499714</v>
      </c>
      <c r="P26" s="271">
        <f t="shared" si="2"/>
        <v>86702.1600761578</v>
      </c>
      <c r="Q26" s="271">
        <f t="shared" si="2"/>
        <v>89113.705652014</v>
      </c>
      <c r="R26" s="271">
        <f t="shared" si="2"/>
        <v>91203.0822872814</v>
      </c>
    </row>
    <row r="27" ht="14.25" customHeight="1" spans="2:18">
      <c r="B27" s="3"/>
      <c r="C27" s="213"/>
      <c r="D27" s="14"/>
      <c r="E27" s="14"/>
      <c r="F27" s="14"/>
      <c r="G27" s="14"/>
      <c r="H27" s="14"/>
      <c r="I27" s="238"/>
      <c r="J27" s="238"/>
      <c r="K27" s="238"/>
      <c r="L27" s="238"/>
      <c r="M27" s="238"/>
      <c r="N27" s="238"/>
      <c r="O27" s="238"/>
      <c r="P27" s="238"/>
      <c r="Q27" s="238"/>
      <c r="R27" s="238"/>
    </row>
    <row r="28" ht="14.25" customHeight="1" spans="2:18">
      <c r="B28" s="265" t="s">
        <v>132</v>
      </c>
      <c r="C28" s="265"/>
      <c r="D28" s="57"/>
      <c r="E28" s="57"/>
      <c r="F28" s="57"/>
      <c r="G28" s="57"/>
      <c r="H28" s="57"/>
      <c r="I28" s="238"/>
      <c r="J28" s="238"/>
      <c r="K28" s="238"/>
      <c r="L28" s="238"/>
      <c r="M28" s="238"/>
      <c r="N28" s="238"/>
      <c r="O28" s="238"/>
      <c r="P28" s="238"/>
      <c r="Q28" s="238"/>
      <c r="R28" s="238"/>
    </row>
    <row r="29" ht="14.25" customHeight="1" spans="2:18">
      <c r="B29" s="3"/>
      <c r="C29" s="267" t="s">
        <v>124</v>
      </c>
      <c r="D29" s="66"/>
      <c r="E29" s="66"/>
      <c r="F29" s="66"/>
      <c r="G29" s="66"/>
      <c r="H29" s="66"/>
      <c r="I29" s="266"/>
      <c r="J29" s="266"/>
      <c r="K29" s="266"/>
      <c r="L29" s="266"/>
      <c r="M29" s="266"/>
      <c r="N29" s="266"/>
      <c r="O29" s="266"/>
      <c r="P29" s="266"/>
      <c r="Q29" s="266"/>
      <c r="R29" s="266"/>
    </row>
    <row r="30" ht="14.25" customHeight="1" spans="2:18">
      <c r="B30" s="3"/>
      <c r="C30" s="213" t="str">
        <f>'BS Input'!C29</f>
        <v>Investments</v>
      </c>
      <c r="D30" s="66">
        <f>'BS Input'!D29</f>
        <v>6673</v>
      </c>
      <c r="E30" s="66">
        <f>'BS Input'!E29</f>
        <v>6909</v>
      </c>
      <c r="F30" s="66">
        <f>'BS Input'!F29</f>
        <v>12915</v>
      </c>
      <c r="G30" s="66">
        <f>'BS Input'!G29</f>
        <v>12482</v>
      </c>
      <c r="H30" s="66">
        <f>'BS Input'!H29</f>
        <v>12950</v>
      </c>
      <c r="I30" s="266">
        <f>'BS items '!I24</f>
        <v>13118.6375600212</v>
      </c>
      <c r="J30" s="266">
        <f>'BS items '!J24</f>
        <v>14368.6868774464</v>
      </c>
      <c r="K30" s="266">
        <f>'BS items '!K24</f>
        <v>15606.3267737603</v>
      </c>
      <c r="L30" s="266">
        <f>'BS items '!L24</f>
        <v>16809.4438464588</v>
      </c>
      <c r="M30" s="266">
        <f>'BS items '!M24</f>
        <v>17954.9846092582</v>
      </c>
      <c r="N30" s="266">
        <f>'BS items '!N24</f>
        <v>19019.581550593</v>
      </c>
      <c r="O30" s="266">
        <f>'BS items '!O24</f>
        <v>19980.225737551</v>
      </c>
      <c r="P30" s="266">
        <f>'BS items '!P24</f>
        <v>20814.9650154341</v>
      </c>
      <c r="Q30" s="266">
        <f>'BS items '!Q24</f>
        <v>21503.6065214067</v>
      </c>
      <c r="R30" s="266">
        <f>'BS items '!R24</f>
        <v>22028.4020982854</v>
      </c>
    </row>
    <row r="31" ht="14.25" customHeight="1" spans="2:18">
      <c r="B31" s="3"/>
      <c r="C31" s="213" t="str">
        <f>'BS Input'!C30</f>
        <v>Trade Receivables</v>
      </c>
      <c r="D31" s="66">
        <f>'BS Input'!D30</f>
        <v>22698</v>
      </c>
      <c r="E31" s="66">
        <f>'BS Input'!E30</f>
        <v>25424</v>
      </c>
      <c r="F31" s="66">
        <f>'BS Input'!F30</f>
        <v>30193</v>
      </c>
      <c r="G31" s="66">
        <f>'BS Input'!G30</f>
        <v>31158</v>
      </c>
      <c r="H31" s="66">
        <f>'BS Input'!H30</f>
        <v>35234</v>
      </c>
      <c r="I31" s="266">
        <f>'Working Capital'!H11</f>
        <v>36158.3735097701</v>
      </c>
      <c r="J31" s="266">
        <f>'Working Capital'!I11</f>
        <v>39603.8342078259</v>
      </c>
      <c r="K31" s="266">
        <f>'Working Capital'!J11</f>
        <v>43015.0913171684</v>
      </c>
      <c r="L31" s="266">
        <f>'Working Capital'!K11</f>
        <v>46331.194555144</v>
      </c>
      <c r="M31" s="266">
        <f>'Working Capital'!L11</f>
        <v>49488.6025239561</v>
      </c>
      <c r="N31" s="266">
        <f>'Working Capital'!M11</f>
        <v>52422.9082905435</v>
      </c>
      <c r="O31" s="266">
        <f>'Working Capital'!N11</f>
        <v>55070.6932577776</v>
      </c>
      <c r="P31" s="266">
        <f>'Working Capital'!O11</f>
        <v>57371.4515838522</v>
      </c>
      <c r="Q31" s="266">
        <f>'Working Capital'!P11</f>
        <v>59269.5264924212</v>
      </c>
      <c r="R31" s="266">
        <f>'Working Capital'!Q11</f>
        <v>60715.9994510829</v>
      </c>
    </row>
    <row r="32" ht="14.25" customHeight="1" spans="2:18">
      <c r="B32" s="3"/>
      <c r="C32" s="213" t="str">
        <f>'BS Input'!C31</f>
        <v>Cash &amp; Cash Equivalents</v>
      </c>
      <c r="D32" s="66">
        <f>'BS Input'!D31</f>
        <v>17472</v>
      </c>
      <c r="E32" s="66">
        <f>'BS Input'!E31</f>
        <v>12173</v>
      </c>
      <c r="F32" s="66">
        <f>'BS Input'!F31</f>
        <v>14786</v>
      </c>
      <c r="G32" s="66">
        <f>'BS Input'!G31</f>
        <v>24455</v>
      </c>
      <c r="H32" s="66">
        <f>'BS Input'!H31</f>
        <v>22201</v>
      </c>
      <c r="I32" s="272">
        <f ca="1">'Cash Flows'!H69</f>
        <v>27591.985936683</v>
      </c>
      <c r="J32" s="272">
        <f ca="1">'Cash Flows'!I69</f>
        <v>41196.3101015907</v>
      </c>
      <c r="K32" s="272">
        <f ca="1">'Cash Flows'!J69</f>
        <v>56464.530499674</v>
      </c>
      <c r="L32" s="272">
        <f ca="1">'Cash Flows'!K69</f>
        <v>73351.6205142833</v>
      </c>
      <c r="M32" s="272">
        <f ca="1">'Cash Flows'!L69</f>
        <v>91913.8382835645</v>
      </c>
      <c r="N32" s="272">
        <f ca="1">'Cash Flows'!M69</f>
        <v>112113.536931817</v>
      </c>
      <c r="O32" s="272">
        <f ca="1">'Cash Flows'!N69</f>
        <v>133815.699628152</v>
      </c>
      <c r="P32" s="272">
        <f ca="1">'Cash Flows'!O69</f>
        <v>156986.716938461</v>
      </c>
      <c r="Q32" s="272">
        <f ca="1">'Cash Flows'!P69</f>
        <v>181495.172103488</v>
      </c>
      <c r="R32" s="272">
        <f ca="1">'Cash Flows'!Q69</f>
        <v>207110.964327983</v>
      </c>
    </row>
    <row r="33" ht="14.25" customHeight="1" spans="2:18">
      <c r="B33" s="3"/>
      <c r="C33" s="213" t="str">
        <f>'BS Input'!C32</f>
        <v>Loans</v>
      </c>
      <c r="D33" s="66">
        <f>'BS Input'!D32</f>
        <v>248</v>
      </c>
      <c r="E33" s="66">
        <f>'BS Input'!E32</f>
        <v>289</v>
      </c>
      <c r="F33" s="66">
        <f>'BS Input'!F32</f>
        <v>248</v>
      </c>
      <c r="G33" s="66">
        <f>'BS Input'!G32</f>
        <v>249</v>
      </c>
      <c r="H33" s="66">
        <f>'BS Input'!H32</f>
        <v>234</v>
      </c>
      <c r="I33" s="266">
        <f t="shared" ref="I33:R33" si="3">H33</f>
        <v>234</v>
      </c>
      <c r="J33" s="266">
        <f t="shared" si="3"/>
        <v>234</v>
      </c>
      <c r="K33" s="266">
        <f t="shared" si="3"/>
        <v>234</v>
      </c>
      <c r="L33" s="266">
        <f t="shared" si="3"/>
        <v>234</v>
      </c>
      <c r="M33" s="266">
        <f t="shared" si="3"/>
        <v>234</v>
      </c>
      <c r="N33" s="266">
        <f t="shared" si="3"/>
        <v>234</v>
      </c>
      <c r="O33" s="266">
        <f t="shared" si="3"/>
        <v>234</v>
      </c>
      <c r="P33" s="266">
        <f t="shared" si="3"/>
        <v>234</v>
      </c>
      <c r="Q33" s="266">
        <f t="shared" si="3"/>
        <v>234</v>
      </c>
      <c r="R33" s="266">
        <f t="shared" si="3"/>
        <v>234</v>
      </c>
    </row>
    <row r="34" ht="14.25" customHeight="1" spans="2:18">
      <c r="B34" s="3"/>
      <c r="C34" s="213" t="str">
        <f>'BS Input'!C33</f>
        <v>Other financial assets</v>
      </c>
      <c r="D34" s="66">
        <f>'BS Input'!D33</f>
        <v>8727</v>
      </c>
      <c r="E34" s="66">
        <f>'BS Input'!E33</f>
        <v>11604</v>
      </c>
      <c r="F34" s="66">
        <f>'BS Input'!F33</f>
        <v>12085</v>
      </c>
      <c r="G34" s="66">
        <f>'BS Input'!G33</f>
        <v>13840</v>
      </c>
      <c r="H34" s="66">
        <f>'BS Input'!H33</f>
        <v>15890</v>
      </c>
      <c r="I34" s="266">
        <f>'BS items '!I26</f>
        <v>15791.4420638576</v>
      </c>
      <c r="J34" s="266">
        <f>'BS items '!J26</f>
        <v>17296.1776953412</v>
      </c>
      <c r="K34" s="266">
        <f>'BS items '!K26</f>
        <v>18785.9755976874</v>
      </c>
      <c r="L34" s="266">
        <f>'BS items '!L26</f>
        <v>20234.216961368</v>
      </c>
      <c r="M34" s="266">
        <f>'BS items '!M26</f>
        <v>21613.1513594538</v>
      </c>
      <c r="N34" s="266">
        <f>'BS items '!N26</f>
        <v>22894.650359905</v>
      </c>
      <c r="O34" s="266">
        <f>'BS items '!O26</f>
        <v>24051.0171665129</v>
      </c>
      <c r="P34" s="266">
        <f>'BS items '!P26</f>
        <v>25055.8270703469</v>
      </c>
      <c r="Q34" s="266">
        <f>'BS items '!Q26</f>
        <v>25884.7730942445</v>
      </c>
      <c r="R34" s="266">
        <f>'BS items '!R26</f>
        <v>26516.4910535015</v>
      </c>
    </row>
    <row r="35" ht="14.25" customHeight="1" spans="2:18">
      <c r="B35" s="3"/>
      <c r="C35" s="213" t="str">
        <f>'BS Input'!C34</f>
        <v>Income tax assets (net)</v>
      </c>
      <c r="D35" s="66">
        <f>'BS Input'!D34</f>
        <v>54</v>
      </c>
      <c r="E35" s="66">
        <f>'BS Input'!E34</f>
        <v>6</v>
      </c>
      <c r="F35" s="66">
        <f>'BS Input'!F34</f>
        <v>6397</v>
      </c>
      <c r="G35" s="66">
        <f>'BS Input'!G34</f>
        <v>2975</v>
      </c>
      <c r="H35" s="66">
        <f>'BS Input'!H34</f>
        <v>1835</v>
      </c>
      <c r="I35" s="266">
        <f>'BS items '!I28</f>
        <v>2765.77745375268</v>
      </c>
      <c r="J35" s="266">
        <f>'BS items '!J28</f>
        <v>3029.32297838472</v>
      </c>
      <c r="K35" s="266">
        <f>'BS items '!K28</f>
        <v>3290.2522483206</v>
      </c>
      <c r="L35" s="266">
        <f>'BS items '!L28</f>
        <v>3543.90313688811</v>
      </c>
      <c r="M35" s="266">
        <f>'BS items '!M28</f>
        <v>3785.41532133634</v>
      </c>
      <c r="N35" s="266">
        <f>'BS items '!N28</f>
        <v>4009.86227356032</v>
      </c>
      <c r="O35" s="266">
        <f>'BS items '!O28</f>
        <v>4212.3930639119</v>
      </c>
      <c r="P35" s="266">
        <f>'BS items '!P28</f>
        <v>4388.37956128771</v>
      </c>
      <c r="Q35" s="266">
        <f>'BS items '!Q28</f>
        <v>4533.5645427481</v>
      </c>
      <c r="R35" s="266">
        <f>'BS items '!R28</f>
        <v>4644.20619800531</v>
      </c>
    </row>
    <row r="36" ht="14.25" customHeight="1" spans="2:18">
      <c r="B36" s="3"/>
      <c r="C36" s="213" t="str">
        <f>'BS Input'!C35</f>
        <v>Other current assets</v>
      </c>
      <c r="D36" s="66">
        <f>'BS Input'!D35</f>
        <v>11313</v>
      </c>
      <c r="E36" s="66">
        <f>'BS Input'!E35</f>
        <v>14476</v>
      </c>
      <c r="F36" s="66">
        <f>'BS Input'!F35</f>
        <v>12808</v>
      </c>
      <c r="G36" s="66">
        <f>'BS Input'!G35</f>
        <v>11940</v>
      </c>
      <c r="H36" s="66">
        <f>'BS Input'!H35</f>
        <v>15145</v>
      </c>
      <c r="I36" s="266">
        <f>'BS items '!I30</f>
        <v>16954.5443511123</v>
      </c>
      <c r="J36" s="266">
        <f>'BS items '!J30</f>
        <v>18570.1097249092</v>
      </c>
      <c r="K36" s="266">
        <f>'BS items '!K30</f>
        <v>20169.6371466215</v>
      </c>
      <c r="L36" s="266">
        <f>'BS items '!L30</f>
        <v>21724.5472259129</v>
      </c>
      <c r="M36" s="266">
        <f>'BS items '!M30</f>
        <v>23205.0456069398</v>
      </c>
      <c r="N36" s="266">
        <f>'BS items '!N30</f>
        <v>24580.9320871735</v>
      </c>
      <c r="O36" s="266">
        <f>'BS items '!O30</f>
        <v>25822.4698916062</v>
      </c>
      <c r="P36" s="266">
        <f>'BS items '!P30</f>
        <v>26901.2880267771</v>
      </c>
      <c r="Q36" s="266">
        <f>'BS items '!Q30</f>
        <v>27791.2892103306</v>
      </c>
      <c r="R36" s="266">
        <f>'BS items '!R30</f>
        <v>28469.5357006958</v>
      </c>
    </row>
    <row r="37" ht="14.25" customHeight="1" spans="2:18">
      <c r="B37" s="3"/>
      <c r="C37" s="213"/>
      <c r="D37" s="66"/>
      <c r="E37" s="66"/>
      <c r="F37" s="66"/>
      <c r="G37" s="66"/>
      <c r="H37" s="66"/>
      <c r="I37" s="266"/>
      <c r="J37" s="266"/>
      <c r="K37" s="266"/>
      <c r="L37" s="266"/>
      <c r="M37" s="266"/>
      <c r="N37" s="266"/>
      <c r="O37" s="266"/>
      <c r="P37" s="266"/>
      <c r="Q37" s="266"/>
      <c r="R37" s="266"/>
    </row>
    <row r="38" s="130" customFormat="1" ht="14.25" customHeight="1" spans="2:18">
      <c r="B38" s="1" t="s">
        <v>136</v>
      </c>
      <c r="C38" s="268"/>
      <c r="D38" s="18">
        <f t="shared" ref="D38:R38" si="4">SUM(D29:D36)</f>
        <v>67185</v>
      </c>
      <c r="E38" s="18">
        <f t="shared" si="4"/>
        <v>70881</v>
      </c>
      <c r="F38" s="18">
        <f t="shared" si="4"/>
        <v>89432</v>
      </c>
      <c r="G38" s="18">
        <f t="shared" si="4"/>
        <v>97099</v>
      </c>
      <c r="H38" s="18">
        <f t="shared" si="4"/>
        <v>103489</v>
      </c>
      <c r="I38" s="271">
        <f ca="1" t="shared" si="4"/>
        <v>112614.760875197</v>
      </c>
      <c r="J38" s="271">
        <f ca="1" t="shared" si="4"/>
        <v>134298.441585498</v>
      </c>
      <c r="K38" s="271">
        <f ca="1" t="shared" si="4"/>
        <v>157565.813583232</v>
      </c>
      <c r="L38" s="271">
        <f ca="1" t="shared" si="4"/>
        <v>182228.926240055</v>
      </c>
      <c r="M38" s="271">
        <f ca="1" t="shared" si="4"/>
        <v>208195.037704509</v>
      </c>
      <c r="N38" s="271">
        <f ca="1" t="shared" si="4"/>
        <v>235275.471493592</v>
      </c>
      <c r="O38" s="271">
        <f ca="1" t="shared" si="4"/>
        <v>263186.498745511</v>
      </c>
      <c r="P38" s="271">
        <f ca="1" t="shared" si="4"/>
        <v>291752.628196159</v>
      </c>
      <c r="Q38" s="271">
        <f ca="1" t="shared" si="4"/>
        <v>320711.931964639</v>
      </c>
      <c r="R38" s="271">
        <f ca="1" t="shared" si="4"/>
        <v>349719.598829554</v>
      </c>
    </row>
    <row r="39" ht="14.25" customHeight="1" spans="2:18">
      <c r="B39" s="3"/>
      <c r="C39" s="213"/>
      <c r="D39" s="14"/>
      <c r="E39" s="14"/>
      <c r="F39" s="14"/>
      <c r="G39" s="14"/>
      <c r="H39" s="14"/>
      <c r="I39" s="238"/>
      <c r="J39" s="238"/>
      <c r="K39" s="238"/>
      <c r="L39" s="238"/>
      <c r="M39" s="238"/>
      <c r="N39" s="238"/>
      <c r="O39" s="238"/>
      <c r="P39" s="238"/>
      <c r="Q39" s="238"/>
      <c r="R39" s="238"/>
    </row>
    <row r="40" ht="14.25" customHeight="1" spans="2:18">
      <c r="B40" s="273" t="s">
        <v>137</v>
      </c>
      <c r="C40" s="273"/>
      <c r="D40" s="274">
        <f t="shared" ref="D40:R40" si="5">D38+D26</f>
        <v>117885</v>
      </c>
      <c r="E40" s="274">
        <f t="shared" si="5"/>
        <v>125816</v>
      </c>
      <c r="F40" s="274">
        <f t="shared" si="5"/>
        <v>137814</v>
      </c>
      <c r="G40" s="274">
        <f t="shared" si="5"/>
        <v>148903</v>
      </c>
      <c r="H40" s="274">
        <f t="shared" si="5"/>
        <v>155967</v>
      </c>
      <c r="I40" s="274">
        <f ca="1" t="shared" si="5"/>
        <v>176396.705814575</v>
      </c>
      <c r="J40" s="274">
        <f ca="1" t="shared" si="5"/>
        <v>201649.975129731</v>
      </c>
      <c r="K40" s="274">
        <f ca="1" t="shared" si="5"/>
        <v>228459.955116853</v>
      </c>
      <c r="L40" s="274">
        <f ca="1" t="shared" si="5"/>
        <v>256623.158849362</v>
      </c>
      <c r="M40" s="274">
        <f ca="1" t="shared" si="5"/>
        <v>285963.777471442</v>
      </c>
      <c r="N40" s="274">
        <f ca="1" t="shared" si="5"/>
        <v>316242.121145912</v>
      </c>
      <c r="O40" s="274">
        <f ca="1" t="shared" si="5"/>
        <v>347158.279245225</v>
      </c>
      <c r="P40" s="274">
        <f ca="1" t="shared" si="5"/>
        <v>378454.788272316</v>
      </c>
      <c r="Q40" s="274">
        <f ca="1" t="shared" si="5"/>
        <v>409825.637616653</v>
      </c>
      <c r="R40" s="274">
        <f ca="1" t="shared" si="5"/>
        <v>440922.681116836</v>
      </c>
    </row>
    <row r="41" ht="14.25" customHeight="1" spans="2:18">
      <c r="B41" s="3"/>
      <c r="C41" s="213"/>
      <c r="D41" s="14"/>
      <c r="E41" s="14"/>
      <c r="F41" s="14"/>
      <c r="G41" s="14"/>
      <c r="H41" s="14"/>
      <c r="I41" s="238"/>
      <c r="J41" s="238"/>
      <c r="K41" s="275"/>
      <c r="L41" s="238"/>
      <c r="M41" s="238"/>
      <c r="N41" s="238"/>
      <c r="O41" s="238"/>
      <c r="P41" s="238"/>
      <c r="Q41" s="238"/>
      <c r="R41" s="238"/>
    </row>
    <row r="42" ht="14.25" customHeight="1" spans="2:18">
      <c r="B42" s="263" t="s">
        <v>138</v>
      </c>
      <c r="C42" s="263"/>
      <c r="D42" s="14"/>
      <c r="E42" s="14"/>
      <c r="F42" s="14"/>
      <c r="G42" s="14"/>
      <c r="H42" s="14"/>
      <c r="I42" s="238"/>
      <c r="J42" s="238"/>
      <c r="K42" s="275"/>
      <c r="L42" s="238"/>
      <c r="M42" s="238"/>
      <c r="N42" s="238"/>
      <c r="O42" s="238"/>
      <c r="P42" s="238"/>
      <c r="Q42" s="238"/>
      <c r="R42" s="238"/>
    </row>
    <row r="43" ht="14.25" customHeight="1" spans="2:18">
      <c r="B43" s="2"/>
      <c r="C43" s="276"/>
      <c r="D43" s="14"/>
      <c r="E43" s="14"/>
      <c r="F43" s="14"/>
      <c r="G43" s="14"/>
      <c r="H43" s="14"/>
      <c r="I43" s="238"/>
      <c r="J43" s="238"/>
      <c r="K43" s="238"/>
      <c r="L43" s="238"/>
      <c r="M43" s="238"/>
      <c r="N43" s="238"/>
      <c r="O43" s="238"/>
      <c r="P43" s="238"/>
      <c r="Q43" s="238"/>
      <c r="R43" s="238"/>
    </row>
    <row r="44" ht="14.25" customHeight="1" spans="2:18">
      <c r="B44" s="265" t="s">
        <v>139</v>
      </c>
      <c r="C44" s="265"/>
      <c r="D44" s="14"/>
      <c r="E44" s="14"/>
      <c r="F44" s="14"/>
      <c r="G44" s="14"/>
      <c r="H44" s="14"/>
      <c r="I44" s="238"/>
      <c r="J44" s="238"/>
      <c r="K44" s="238"/>
      <c r="L44" s="238"/>
      <c r="M44" s="238"/>
      <c r="N44" s="238"/>
      <c r="O44" s="238"/>
      <c r="P44" s="238"/>
      <c r="Q44" s="238"/>
      <c r="R44" s="238"/>
    </row>
    <row r="45" ht="14.25" customHeight="1" spans="2:18">
      <c r="B45" s="3"/>
      <c r="C45" s="213" t="s">
        <v>140</v>
      </c>
      <c r="D45" s="66">
        <f>'BS Input'!D44</f>
        <v>2098</v>
      </c>
      <c r="E45" s="66">
        <f>'BS Input'!E44</f>
        <v>2069</v>
      </c>
      <c r="F45" s="66">
        <f>'BS Input'!F44</f>
        <v>2071</v>
      </c>
      <c r="G45" s="66">
        <f>'BS Input'!G44</f>
        <v>2073</v>
      </c>
      <c r="H45" s="66">
        <f>'BS Input'!H44</f>
        <v>2024</v>
      </c>
      <c r="I45" s="266">
        <f t="shared" ref="I45:R45" si="6">H45</f>
        <v>2024</v>
      </c>
      <c r="J45" s="266">
        <f t="shared" si="6"/>
        <v>2024</v>
      </c>
      <c r="K45" s="266">
        <f t="shared" si="6"/>
        <v>2024</v>
      </c>
      <c r="L45" s="266">
        <f t="shared" si="6"/>
        <v>2024</v>
      </c>
      <c r="M45" s="266">
        <f t="shared" si="6"/>
        <v>2024</v>
      </c>
      <c r="N45" s="266">
        <f t="shared" si="6"/>
        <v>2024</v>
      </c>
      <c r="O45" s="266">
        <f t="shared" si="6"/>
        <v>2024</v>
      </c>
      <c r="P45" s="266">
        <f t="shared" si="6"/>
        <v>2024</v>
      </c>
      <c r="Q45" s="266">
        <f t="shared" si="6"/>
        <v>2024</v>
      </c>
      <c r="R45" s="266">
        <f t="shared" si="6"/>
        <v>2024</v>
      </c>
    </row>
    <row r="46" ht="14.25" customHeight="1" spans="2:18">
      <c r="B46" s="3"/>
      <c r="C46" s="213" t="s">
        <v>141</v>
      </c>
      <c r="D46" s="66">
        <f>'BS Input'!D45</f>
        <v>73252</v>
      </c>
      <c r="E46" s="66">
        <f>'BS Input'!E45</f>
        <v>73338</v>
      </c>
      <c r="F46" s="66">
        <f>'BS Input'!F45</f>
        <v>86045</v>
      </c>
      <c r="G46" s="66">
        <f>'BS Input'!G45</f>
        <v>93745</v>
      </c>
      <c r="H46" s="66">
        <f>'BS Input'!H45</f>
        <v>90828</v>
      </c>
      <c r="I46" s="277">
        <f ca="1">H46+'Income Statement'!H44-'Income Statement'!H48</f>
        <v>108164.791409864</v>
      </c>
      <c r="J46" s="277">
        <f ca="1">I46+'Income Statement'!I44-'Income Statement'!I48</f>
        <v>127151.64122167</v>
      </c>
      <c r="K46" s="277">
        <f ca="1">J46+'Income Statement'!J44-'Income Statement'!J48</f>
        <v>147757.409361887</v>
      </c>
      <c r="L46" s="277">
        <f ca="1">K46+'Income Statement'!K44-'Income Statement'!K48</f>
        <v>169889.462015732</v>
      </c>
      <c r="M46" s="277">
        <f ca="1">L46+'Income Statement'!L44-'Income Statement'!L48</f>
        <v>193487.556020723</v>
      </c>
      <c r="N46" s="277">
        <f ca="1">M46+'Income Statement'!M44-'Income Statement'!M48</f>
        <v>218429.141422226</v>
      </c>
      <c r="O46" s="277">
        <f ca="1">N46+'Income Statement'!N44-'Income Statement'!N48</f>
        <v>244529.649942742</v>
      </c>
      <c r="P46" s="277">
        <f ca="1">O46+'Income Statement'!O44-'Income Statement'!O48</f>
        <v>271641.66287178</v>
      </c>
      <c r="Q46" s="277">
        <f ca="1">P46+'Income Statement'!P44-'Income Statement'!P48</f>
        <v>299560.395164662</v>
      </c>
      <c r="R46" s="277">
        <f ca="1">Q46+'Income Statement'!Q44-'Income Statement'!Q48</f>
        <v>328026.671068412</v>
      </c>
    </row>
    <row r="47" ht="14.25" customHeight="1" spans="2:18">
      <c r="B47" s="3"/>
      <c r="C47" s="213" t="s">
        <v>142</v>
      </c>
      <c r="D47" s="66">
        <f>'BS Input'!D46</f>
        <v>386</v>
      </c>
      <c r="E47" s="66">
        <f>'BS Input'!E46</f>
        <v>388</v>
      </c>
      <c r="F47" s="66">
        <f>'BS Input'!F46</f>
        <v>345</v>
      </c>
      <c r="G47" s="66">
        <f>'BS Input'!G46</f>
        <v>385</v>
      </c>
      <c r="H47" s="66">
        <f>'BS Input'!H46</f>
        <v>445</v>
      </c>
      <c r="I47" s="277">
        <f t="shared" ref="I47:R47" si="7">H47</f>
        <v>445</v>
      </c>
      <c r="J47" s="277">
        <f t="shared" si="7"/>
        <v>445</v>
      </c>
      <c r="K47" s="277">
        <f t="shared" si="7"/>
        <v>445</v>
      </c>
      <c r="L47" s="277">
        <f t="shared" si="7"/>
        <v>445</v>
      </c>
      <c r="M47" s="277">
        <f t="shared" si="7"/>
        <v>445</v>
      </c>
      <c r="N47" s="277">
        <f t="shared" si="7"/>
        <v>445</v>
      </c>
      <c r="O47" s="277">
        <f t="shared" si="7"/>
        <v>445</v>
      </c>
      <c r="P47" s="277">
        <f t="shared" si="7"/>
        <v>445</v>
      </c>
      <c r="Q47" s="277">
        <f t="shared" si="7"/>
        <v>445</v>
      </c>
      <c r="R47" s="277">
        <f t="shared" si="7"/>
        <v>445</v>
      </c>
    </row>
    <row r="48" ht="14.25" customHeight="1" spans="2:18">
      <c r="B48" s="3"/>
      <c r="C48" s="213"/>
      <c r="D48" s="14"/>
      <c r="E48" s="14"/>
      <c r="F48" s="14"/>
      <c r="G48" s="14"/>
      <c r="H48" s="14"/>
      <c r="I48" s="238"/>
      <c r="J48" s="238"/>
      <c r="K48" s="238"/>
      <c r="L48" s="238"/>
      <c r="M48" s="238"/>
      <c r="N48" s="238"/>
      <c r="O48" s="238"/>
      <c r="P48" s="238"/>
      <c r="Q48" s="238"/>
      <c r="R48" s="238"/>
    </row>
    <row r="49" ht="14.25" customHeight="1" spans="2:18">
      <c r="B49" s="278" t="s">
        <v>303</v>
      </c>
      <c r="C49" s="265"/>
      <c r="D49" s="279">
        <f t="shared" ref="D49:R49" si="8">SUM(D45:D48)</f>
        <v>75736</v>
      </c>
      <c r="E49" s="18">
        <f t="shared" si="8"/>
        <v>75795</v>
      </c>
      <c r="F49" s="18">
        <f t="shared" si="8"/>
        <v>88461</v>
      </c>
      <c r="G49" s="18">
        <f t="shared" si="8"/>
        <v>96203</v>
      </c>
      <c r="H49" s="18">
        <f t="shared" si="8"/>
        <v>93297</v>
      </c>
      <c r="I49" s="271">
        <f ca="1" t="shared" si="8"/>
        <v>110633.791409864</v>
      </c>
      <c r="J49" s="271">
        <f ca="1" t="shared" si="8"/>
        <v>129620.64122167</v>
      </c>
      <c r="K49" s="271">
        <f ca="1" t="shared" si="8"/>
        <v>150226.409361887</v>
      </c>
      <c r="L49" s="271">
        <f ca="1" t="shared" si="8"/>
        <v>172358.462015732</v>
      </c>
      <c r="M49" s="271">
        <f ca="1" t="shared" si="8"/>
        <v>195956.556020723</v>
      </c>
      <c r="N49" s="271">
        <f ca="1" t="shared" si="8"/>
        <v>220898.141422226</v>
      </c>
      <c r="O49" s="271">
        <f ca="1" t="shared" si="8"/>
        <v>246998.649942742</v>
      </c>
      <c r="P49" s="271">
        <f ca="1" t="shared" si="8"/>
        <v>274110.66287178</v>
      </c>
      <c r="Q49" s="271">
        <f ca="1" t="shared" si="8"/>
        <v>302029.395164662</v>
      </c>
      <c r="R49" s="271">
        <f ca="1" t="shared" si="8"/>
        <v>330495.671068412</v>
      </c>
    </row>
    <row r="50" ht="14.25" customHeight="1" spans="2:18">
      <c r="B50" s="3"/>
      <c r="C50" s="213"/>
      <c r="D50" s="14"/>
      <c r="E50" s="14"/>
      <c r="F50" s="14"/>
      <c r="G50" s="14"/>
      <c r="H50" s="14"/>
      <c r="I50" s="275"/>
      <c r="J50" s="238"/>
      <c r="K50" s="238"/>
      <c r="L50" s="238"/>
      <c r="M50" s="238"/>
      <c r="N50" s="238"/>
      <c r="O50" s="238"/>
      <c r="P50" s="238"/>
      <c r="Q50" s="238"/>
      <c r="R50" s="238"/>
    </row>
    <row r="51" ht="14.25" customHeight="1" spans="2:18">
      <c r="B51" s="265" t="s">
        <v>144</v>
      </c>
      <c r="C51" s="265"/>
      <c r="D51" s="57"/>
      <c r="E51" s="57"/>
      <c r="F51" s="57"/>
      <c r="G51" s="57"/>
      <c r="H51" s="57"/>
      <c r="I51" s="238"/>
      <c r="J51" s="238"/>
      <c r="K51" s="238"/>
      <c r="L51" s="238"/>
      <c r="M51" s="238"/>
      <c r="N51" s="238"/>
      <c r="O51" s="238"/>
      <c r="P51" s="238"/>
      <c r="Q51" s="238"/>
      <c r="R51" s="238"/>
    </row>
    <row r="52" ht="14.25" customHeight="1" spans="2:18">
      <c r="B52" s="278"/>
      <c r="C52" s="267" t="s">
        <v>145</v>
      </c>
      <c r="D52" s="57"/>
      <c r="E52" s="57"/>
      <c r="F52" s="57"/>
      <c r="G52" s="57"/>
      <c r="H52" s="57"/>
      <c r="I52" s="238"/>
      <c r="J52" s="238"/>
      <c r="K52" s="238"/>
      <c r="L52" s="238"/>
      <c r="M52" s="238"/>
      <c r="N52" s="238"/>
      <c r="O52" s="238"/>
      <c r="P52" s="238"/>
      <c r="Q52" s="238"/>
      <c r="R52" s="238"/>
    </row>
    <row r="53" ht="14.25" customHeight="1" spans="2:18">
      <c r="B53" s="3"/>
      <c r="C53" s="213" t="str">
        <f>'BS Input'!C52</f>
        <v>Lease Liabilities</v>
      </c>
      <c r="D53" s="66">
        <f>'BS Input'!D52</f>
        <v>4602</v>
      </c>
      <c r="E53" s="66">
        <f>'BS Input'!E52</f>
        <v>7057</v>
      </c>
      <c r="F53" s="66">
        <f>'BS Input'!F52</f>
        <v>6400</v>
      </c>
      <c r="G53" s="66">
        <f>'BS Input'!G52</f>
        <v>5772</v>
      </c>
      <c r="H53" s="66">
        <f>'BS Input'!H52</f>
        <v>6016</v>
      </c>
      <c r="I53" s="266">
        <f>'BS items '!I36</f>
        <v>7699.83160095518</v>
      </c>
      <c r="J53" s="266">
        <f>'BS items '!J36</f>
        <v>8433.53349591377</v>
      </c>
      <c r="K53" s="266">
        <f>'BS items '!K36</f>
        <v>9159.95182560997</v>
      </c>
      <c r="L53" s="266">
        <f>'BS items '!L36</f>
        <v>9866.10738586754</v>
      </c>
      <c r="M53" s="266">
        <f>'BS items '!M36</f>
        <v>10538.4692012793</v>
      </c>
      <c r="N53" s="266">
        <f>'BS items '!N36</f>
        <v>11163.3219829547</v>
      </c>
      <c r="O53" s="266">
        <f>'BS items '!O36</f>
        <v>11727.1609055692</v>
      </c>
      <c r="P53" s="266">
        <f>'BS items '!P36</f>
        <v>12217.1014074694</v>
      </c>
      <c r="Q53" s="266">
        <f>'BS items '!Q36</f>
        <v>12621.2915228801</v>
      </c>
      <c r="R53" s="266">
        <f>'BS items '!R36</f>
        <v>12929.3141775502</v>
      </c>
    </row>
    <row r="54" ht="14.25" customHeight="1" spans="2:18">
      <c r="B54" s="3"/>
      <c r="C54" s="213" t="str">
        <f>'BS Input'!C53</f>
        <v>Other financial liabilities</v>
      </c>
      <c r="D54" s="66">
        <f>'BS Input'!D53</f>
        <v>2337</v>
      </c>
      <c r="E54" s="66">
        <f>'BS Input'!E53</f>
        <v>2058</v>
      </c>
      <c r="F54" s="66">
        <f>'BS Input'!F53</f>
        <v>2130</v>
      </c>
      <c r="G54" s="66">
        <f>'BS Input'!G53</f>
        <v>2141</v>
      </c>
      <c r="H54" s="66">
        <f>'BS Input'!H53</f>
        <v>2092</v>
      </c>
      <c r="I54" s="266">
        <f>'BS items '!I38</f>
        <v>2816.83846704328</v>
      </c>
      <c r="J54" s="266">
        <f>'BS items '!J38</f>
        <v>3085.24949577352</v>
      </c>
      <c r="K54" s="266">
        <f>'BS items '!K38</f>
        <v>3350.99596924181</v>
      </c>
      <c r="L54" s="266">
        <f>'BS items '!L38</f>
        <v>3609.3296898914</v>
      </c>
      <c r="M54" s="266">
        <f>'BS items '!M38</f>
        <v>3855.30060504597</v>
      </c>
      <c r="N54" s="266">
        <f>'BS items '!N38</f>
        <v>4083.89123441035</v>
      </c>
      <c r="O54" s="266">
        <f>'BS items '!O38</f>
        <v>4290.16109182383</v>
      </c>
      <c r="P54" s="266">
        <f>'BS items '!P38</f>
        <v>4469.39660291522</v>
      </c>
      <c r="Q54" s="266">
        <f>'BS items '!Q38</f>
        <v>4617.26194908026</v>
      </c>
      <c r="R54" s="266">
        <f>'BS items '!R38</f>
        <v>4729.94623977147</v>
      </c>
    </row>
    <row r="55" ht="14.25" customHeight="1" spans="2:18">
      <c r="B55" s="3"/>
      <c r="C55" s="213" t="str">
        <f>'BS Input'!C54</f>
        <v>Other non current liabilities</v>
      </c>
      <c r="D55" s="66">
        <f>'BS Input'!D54</f>
        <v>451</v>
      </c>
      <c r="E55" s="66">
        <f>'BS Input'!E54</f>
        <v>500</v>
      </c>
      <c r="F55" s="66">
        <f>'BS Input'!F54</f>
        <v>235</v>
      </c>
      <c r="G55" s="66">
        <f>'BS Input'!G54</f>
        <v>215</v>
      </c>
      <c r="H55" s="66">
        <f>'BS Input'!H54</f>
        <v>561</v>
      </c>
      <c r="I55" s="266">
        <f>'BS items '!I40</f>
        <v>513.042978617317</v>
      </c>
      <c r="J55" s="266">
        <f>'BS items '!J40</f>
        <v>561.929840709214</v>
      </c>
      <c r="K55" s="266">
        <f>'BS items '!K40</f>
        <v>610.331395821578</v>
      </c>
      <c r="L55" s="266">
        <f>'BS items '!L40</f>
        <v>657.382834187683</v>
      </c>
      <c r="M55" s="266">
        <f>'BS items '!M40</f>
        <v>702.182581294441</v>
      </c>
      <c r="N55" s="266">
        <f>'BS items '!N40</f>
        <v>743.81678174478</v>
      </c>
      <c r="O55" s="266">
        <f>'BS items '!O40</f>
        <v>781.385603416498</v>
      </c>
      <c r="P55" s="266">
        <f>'BS items '!P40</f>
        <v>814.030542613471</v>
      </c>
      <c r="Q55" s="266">
        <f>'BS items '!Q40</f>
        <v>840.961897931982</v>
      </c>
      <c r="R55" s="266">
        <f>'BS items '!R40</f>
        <v>861.485575386685</v>
      </c>
    </row>
    <row r="56" ht="14.25" customHeight="1" spans="2:18">
      <c r="B56" s="3"/>
      <c r="C56" s="213" t="str">
        <f>'BS Input'!C55</f>
        <v>Deferred Tax Liability(net)</v>
      </c>
      <c r="D56" s="66">
        <f>'BS Input'!D55</f>
        <v>1156</v>
      </c>
      <c r="E56" s="66">
        <f>'BS Input'!E55</f>
        <v>1220</v>
      </c>
      <c r="F56" s="66">
        <f>'BS Input'!F55</f>
        <v>1794</v>
      </c>
      <c r="G56" s="66">
        <f>'BS Input'!G55</f>
        <v>1722</v>
      </c>
      <c r="H56" s="66">
        <f>'BS Input'!H55</f>
        <v>1679</v>
      </c>
      <c r="I56" s="266">
        <f>'BS items '!I42</f>
        <v>1936.34144702493</v>
      </c>
      <c r="J56" s="266">
        <f>'BS items '!J42</f>
        <v>2120.85163667541</v>
      </c>
      <c r="K56" s="266">
        <f>'BS items '!K42</f>
        <v>2303.53016687793</v>
      </c>
      <c r="L56" s="266">
        <f>'BS items '!L42</f>
        <v>2481.11304793785</v>
      </c>
      <c r="M56" s="266">
        <f>'BS items '!M42</f>
        <v>2650.19753160595</v>
      </c>
      <c r="N56" s="266">
        <f>'BS items '!N42</f>
        <v>2807.33451877027</v>
      </c>
      <c r="O56" s="266">
        <f>'BS items '!O42</f>
        <v>2949.12783736298</v>
      </c>
      <c r="P56" s="266">
        <f>'BS items '!P42</f>
        <v>3072.33729824102</v>
      </c>
      <c r="Q56" s="266">
        <f>'BS items '!Q42</f>
        <v>3173.98238783631</v>
      </c>
      <c r="R56" s="266">
        <f>'BS items '!R42</f>
        <v>3251.44343682681</v>
      </c>
    </row>
    <row r="57" ht="14.25" customHeight="1" spans="2:18">
      <c r="B57" s="3"/>
      <c r="C57" s="213"/>
      <c r="D57" s="66"/>
      <c r="E57" s="66"/>
      <c r="F57" s="66"/>
      <c r="G57" s="66"/>
      <c r="H57" s="66"/>
      <c r="I57" s="266"/>
      <c r="J57" s="266"/>
      <c r="K57" s="266"/>
      <c r="L57" s="266"/>
      <c r="M57" s="266"/>
      <c r="N57" s="266"/>
      <c r="O57" s="266"/>
      <c r="P57" s="266"/>
      <c r="Q57" s="266"/>
      <c r="R57" s="266"/>
    </row>
    <row r="58" s="130" customFormat="1" ht="14.25" customHeight="1" spans="2:18">
      <c r="B58" s="1" t="s">
        <v>304</v>
      </c>
      <c r="C58" s="268"/>
      <c r="D58" s="269">
        <f t="shared" ref="D58:R58" si="9">SUM(D53:D57)</f>
        <v>8546</v>
      </c>
      <c r="E58" s="270">
        <f t="shared" si="9"/>
        <v>10835</v>
      </c>
      <c r="F58" s="270">
        <f t="shared" si="9"/>
        <v>10559</v>
      </c>
      <c r="G58" s="270">
        <f t="shared" si="9"/>
        <v>9850</v>
      </c>
      <c r="H58" s="270">
        <f t="shared" si="9"/>
        <v>10348</v>
      </c>
      <c r="I58" s="271">
        <f t="shared" si="9"/>
        <v>12966.0544936407</v>
      </c>
      <c r="J58" s="271">
        <f t="shared" si="9"/>
        <v>14201.5644690719</v>
      </c>
      <c r="K58" s="271">
        <f t="shared" si="9"/>
        <v>15424.8093575513</v>
      </c>
      <c r="L58" s="271">
        <f t="shared" si="9"/>
        <v>16613.9329578845</v>
      </c>
      <c r="M58" s="271">
        <f t="shared" si="9"/>
        <v>17746.1499192257</v>
      </c>
      <c r="N58" s="271">
        <f t="shared" si="9"/>
        <v>18798.3645178801</v>
      </c>
      <c r="O58" s="271">
        <f t="shared" si="9"/>
        <v>19747.8354381725</v>
      </c>
      <c r="P58" s="271">
        <f t="shared" si="9"/>
        <v>20572.8658512391</v>
      </c>
      <c r="Q58" s="271">
        <f t="shared" si="9"/>
        <v>21253.4977577287</v>
      </c>
      <c r="R58" s="271">
        <f t="shared" si="9"/>
        <v>21772.1894295351</v>
      </c>
    </row>
    <row r="59" ht="14.25" customHeight="1" spans="2:18">
      <c r="B59" s="3"/>
      <c r="C59" s="213"/>
      <c r="D59" s="14"/>
      <c r="E59" s="14"/>
      <c r="F59" s="14"/>
      <c r="G59" s="14"/>
      <c r="H59" s="14"/>
      <c r="I59" s="238"/>
      <c r="J59" s="238"/>
      <c r="K59" s="238"/>
      <c r="L59" s="238"/>
      <c r="M59" s="238"/>
      <c r="N59" s="238"/>
      <c r="O59" s="238"/>
      <c r="P59" s="238"/>
      <c r="Q59" s="238"/>
      <c r="R59" s="238"/>
    </row>
    <row r="60" ht="14.25" customHeight="1" spans="2:18">
      <c r="B60" s="265" t="s">
        <v>151</v>
      </c>
      <c r="C60" s="265"/>
      <c r="D60" s="57"/>
      <c r="E60" s="57"/>
      <c r="F60" s="57"/>
      <c r="G60" s="57"/>
      <c r="H60" s="57"/>
      <c r="I60" s="238"/>
      <c r="J60" s="238"/>
      <c r="K60" s="238"/>
      <c r="L60" s="238"/>
      <c r="M60" s="238"/>
      <c r="N60" s="238"/>
      <c r="O60" s="238"/>
      <c r="P60" s="238"/>
      <c r="Q60" s="238"/>
      <c r="R60" s="238"/>
    </row>
    <row r="61" ht="14.25" customHeight="1" spans="2:18">
      <c r="B61" s="278"/>
      <c r="C61" s="267" t="s">
        <v>145</v>
      </c>
      <c r="D61" s="57"/>
      <c r="E61" s="57"/>
      <c r="F61" s="57"/>
      <c r="G61" s="57"/>
      <c r="H61" s="57"/>
      <c r="I61" s="238"/>
      <c r="J61" s="238"/>
      <c r="K61" s="238"/>
      <c r="L61" s="238"/>
      <c r="M61" s="238"/>
      <c r="N61" s="238"/>
      <c r="O61" s="238"/>
      <c r="P61" s="238"/>
      <c r="Q61" s="238"/>
      <c r="R61" s="238"/>
    </row>
    <row r="62" ht="14.25" customHeight="1" spans="2:18">
      <c r="B62" s="3"/>
      <c r="C62" s="213" t="str">
        <f>'BS Input'!C61</f>
        <v>Lease liabilities</v>
      </c>
      <c r="D62" s="66">
        <f>'BS Input'!D61</f>
        <v>872</v>
      </c>
      <c r="E62" s="66">
        <f>'BS Input'!E61</f>
        <v>1242</v>
      </c>
      <c r="F62" s="66">
        <f>'BS Input'!F61</f>
        <v>1959</v>
      </c>
      <c r="G62" s="66">
        <f>'BS Input'!G61</f>
        <v>2455</v>
      </c>
      <c r="H62" s="66">
        <f>'BS Input'!H61</f>
        <v>3160</v>
      </c>
      <c r="I62" s="266">
        <f>'BS items '!I46</f>
        <v>2393.51406586574</v>
      </c>
      <c r="J62" s="266">
        <f>'BS items '!J46</f>
        <v>2621.58734028877</v>
      </c>
      <c r="K62" s="266">
        <f>'BS items '!K46</f>
        <v>2847.39649819488</v>
      </c>
      <c r="L62" s="266">
        <f>'BS items '!L46</f>
        <v>3066.9069178716</v>
      </c>
      <c r="M62" s="266">
        <f>'BS items '!M46</f>
        <v>3275.91245798492</v>
      </c>
      <c r="N62" s="266">
        <f>'BS items '!N46</f>
        <v>3470.14968284184</v>
      </c>
      <c r="O62" s="266">
        <f>'BS items '!O46</f>
        <v>3645.42057993433</v>
      </c>
      <c r="P62" s="266">
        <f>'BS items '!P46</f>
        <v>3797.71994744126</v>
      </c>
      <c r="Q62" s="266">
        <f>'BS items '!Q46</f>
        <v>3923.36356884196</v>
      </c>
      <c r="R62" s="266">
        <f>'BS items '!R46</f>
        <v>4019.11326763623</v>
      </c>
    </row>
    <row r="63" ht="14.25" customHeight="1" spans="2:18">
      <c r="B63" s="3"/>
      <c r="C63" s="213" t="str">
        <f>'BS Input'!C62</f>
        <v>Trade Payables</v>
      </c>
      <c r="D63" s="66">
        <f>'BS Input'!D62</f>
        <v>4134</v>
      </c>
      <c r="E63" s="66">
        <f>'BS Input'!E62</f>
        <v>3865</v>
      </c>
      <c r="F63" s="66">
        <f>'BS Input'!F62</f>
        <v>3956</v>
      </c>
      <c r="G63" s="66">
        <f>'BS Input'!G62</f>
        <v>4164</v>
      </c>
      <c r="H63" s="66">
        <f>'BS Input'!H62</f>
        <v>4744</v>
      </c>
      <c r="I63" s="266">
        <f>'Working Capital'!H13</f>
        <v>5290.3927223546</v>
      </c>
      <c r="J63" s="266">
        <f>'Working Capital'!I13</f>
        <v>5794.50389862828</v>
      </c>
      <c r="K63" s="266">
        <f>'Working Capital'!J13</f>
        <v>6293.61069004603</v>
      </c>
      <c r="L63" s="266">
        <f>'Working Capital'!K13</f>
        <v>6778.7953577696</v>
      </c>
      <c r="M63" s="266">
        <f>'Working Capital'!L13</f>
        <v>7240.76105252616</v>
      </c>
      <c r="N63" s="266">
        <f>'Working Capital'!M13</f>
        <v>7670.08428711587</v>
      </c>
      <c r="O63" s="266">
        <f>'Working Capital'!N13</f>
        <v>8057.4861794391</v>
      </c>
      <c r="P63" s="266">
        <f>'Working Capital'!O13</f>
        <v>8394.11401754893</v>
      </c>
      <c r="Q63" s="266">
        <f>'Working Capital'!P13</f>
        <v>8671.82456445902</v>
      </c>
      <c r="R63" s="266">
        <f>'Working Capital'!Q13</f>
        <v>8883.46046703961</v>
      </c>
    </row>
    <row r="64" ht="14.25" customHeight="1" spans="2:18">
      <c r="B64" s="3"/>
      <c r="C64" s="213" t="str">
        <f>'BS Input'!C63</f>
        <v>Other Financial liabilities</v>
      </c>
      <c r="D64" s="66">
        <f>'BS Input'!D63</f>
        <v>15837</v>
      </c>
      <c r="E64" s="66">
        <f>'BS Input'!E63</f>
        <v>18558</v>
      </c>
      <c r="F64" s="66">
        <f>'BS Input'!F63</f>
        <v>16959</v>
      </c>
      <c r="G64" s="66">
        <f>'BS Input'!G63</f>
        <v>18138</v>
      </c>
      <c r="H64" s="66">
        <f>'BS Input'!H63</f>
        <v>21483</v>
      </c>
      <c r="I64" s="266">
        <f>'BS items '!I48</f>
        <v>23435.463578349</v>
      </c>
      <c r="J64" s="266">
        <f>'BS items '!J48</f>
        <v>25668.583070798</v>
      </c>
      <c r="K64" s="266">
        <f>'BS items '!K48</f>
        <v>27879.5340617429</v>
      </c>
      <c r="L64" s="266">
        <f>'BS items '!L48</f>
        <v>30028.8126136286</v>
      </c>
      <c r="M64" s="266">
        <f>'BS items '!M48</f>
        <v>32075.2353996284</v>
      </c>
      <c r="N64" s="266">
        <f>'BS items '!N48</f>
        <v>33977.0581102661</v>
      </c>
      <c r="O64" s="266">
        <f>'BS items '!O48</f>
        <v>35693.1770099768</v>
      </c>
      <c r="P64" s="266">
        <f>'BS items '!P48</f>
        <v>37184.3762183354</v>
      </c>
      <c r="Q64" s="266">
        <f>'BS items '!Q48</f>
        <v>38414.58269808</v>
      </c>
      <c r="R64" s="266">
        <f>'BS items '!R48</f>
        <v>39352.0906955187</v>
      </c>
    </row>
    <row r="65" ht="14.25" customHeight="1" spans="2:18">
      <c r="B65" s="3"/>
      <c r="C65" s="213" t="str">
        <f>'BS Input'!C64</f>
        <v>Other current liabilities</v>
      </c>
      <c r="D65" s="66">
        <f>'BS Input'!D64</f>
        <v>9178</v>
      </c>
      <c r="E65" s="66">
        <f>'BS Input'!E64</f>
        <v>10830</v>
      </c>
      <c r="F65" s="66">
        <f>'BS Input'!F64</f>
        <v>10539</v>
      </c>
      <c r="G65" s="66">
        <f>'BS Input'!G64</f>
        <v>11765</v>
      </c>
      <c r="H65" s="66">
        <f>'BS Input'!H64</f>
        <v>15779</v>
      </c>
      <c r="I65" s="266">
        <f>'BS items '!I50</f>
        <v>14813.4067641266</v>
      </c>
      <c r="J65" s="266">
        <f>'BS items '!J50</f>
        <v>16224.947324609</v>
      </c>
      <c r="K65" s="266">
        <f>'BS items '!K50</f>
        <v>17622.4753169579</v>
      </c>
      <c r="L65" s="266">
        <f>'BS items '!L50</f>
        <v>18981.0205546937</v>
      </c>
      <c r="M65" s="266">
        <f>'BS items '!M50</f>
        <v>20274.5513201102</v>
      </c>
      <c r="N65" s="266">
        <f>'BS items '!N50</f>
        <v>21476.6813019534</v>
      </c>
      <c r="O65" s="266">
        <f>'BS items '!O50</f>
        <v>22561.4290916454</v>
      </c>
      <c r="P65" s="266">
        <f>'BS items '!P50</f>
        <v>23504.0065817774</v>
      </c>
      <c r="Q65" s="266">
        <f>'BS items '!Q50</f>
        <v>24281.61223602</v>
      </c>
      <c r="R65" s="266">
        <f>'BS items '!R50</f>
        <v>24874.2050500794</v>
      </c>
    </row>
    <row r="66" ht="14.25" customHeight="1" spans="2:18">
      <c r="B66" s="3"/>
      <c r="C66" s="213" t="str">
        <f>'BS Input'!C65</f>
        <v>Provisions</v>
      </c>
      <c r="D66" s="66">
        <f>'BS Input'!D65</f>
        <v>975</v>
      </c>
      <c r="E66" s="66">
        <f>'BS Input'!E65</f>
        <v>1307</v>
      </c>
      <c r="F66" s="66">
        <f>'BS Input'!F65</f>
        <v>1796</v>
      </c>
      <c r="G66" s="66">
        <f>'BS Input'!G65</f>
        <v>1475</v>
      </c>
      <c r="H66" s="66">
        <f>'BS Input'!H65</f>
        <v>1512</v>
      </c>
      <c r="I66" s="266">
        <f>'BS items '!I52</f>
        <v>1805.86168993263</v>
      </c>
      <c r="J66" s="266">
        <f>'BS items '!J52</f>
        <v>1977.93871870458</v>
      </c>
      <c r="K66" s="266">
        <f>'BS items '!K52</f>
        <v>2148.30751382219</v>
      </c>
      <c r="L66" s="266">
        <f>'BS items '!L52</f>
        <v>2313.92402850595</v>
      </c>
      <c r="M66" s="266">
        <f>'BS items '!M52</f>
        <v>2471.61480762313</v>
      </c>
      <c r="N66" s="266">
        <f>'BS items '!N52</f>
        <v>2618.16316851655</v>
      </c>
      <c r="O66" s="266">
        <f>'BS items '!O52</f>
        <v>2750.40178910095</v>
      </c>
      <c r="P66" s="266">
        <f>'BS items '!P52</f>
        <v>2865.30881935575</v>
      </c>
      <c r="Q66" s="266">
        <f>'BS items '!Q52</f>
        <v>2960.10458667867</v>
      </c>
      <c r="R66" s="266">
        <f>'BS items '!R52</f>
        <v>3032.3459473379</v>
      </c>
    </row>
    <row r="67" ht="14.25" customHeight="1" spans="2:18">
      <c r="B67" s="3"/>
      <c r="C67" s="213" t="str">
        <f>'BS Input'!C66</f>
        <v>Income Tax Liabilities(net)</v>
      </c>
      <c r="D67" s="66">
        <f>'BS Input'!D66</f>
        <v>2607</v>
      </c>
      <c r="E67" s="66">
        <f>'BS Input'!E66</f>
        <v>3384</v>
      </c>
      <c r="F67" s="66">
        <f>'BS Input'!F66</f>
        <v>3585</v>
      </c>
      <c r="G67" s="66">
        <f>'BS Input'!G66</f>
        <v>4853</v>
      </c>
      <c r="H67" s="66">
        <f>'BS Input'!H66</f>
        <v>5644</v>
      </c>
      <c r="I67" s="266">
        <f>'BS items '!I54</f>
        <v>5058.22109044131</v>
      </c>
      <c r="J67" s="266">
        <f>'BS items '!J54</f>
        <v>5540.20908596006</v>
      </c>
      <c r="K67" s="266">
        <f>'BS items '!K54</f>
        <v>6017.41231665106</v>
      </c>
      <c r="L67" s="266">
        <f>'BS items '!L54</f>
        <v>6481.30440327593</v>
      </c>
      <c r="M67" s="266">
        <f>'BS items '!M54</f>
        <v>6922.99649362003</v>
      </c>
      <c r="N67" s="266">
        <f>'BS items '!N54</f>
        <v>7333.47865511287</v>
      </c>
      <c r="O67" s="266">
        <f>'BS items '!O54</f>
        <v>7703.8792142143</v>
      </c>
      <c r="P67" s="266">
        <f>'BS items '!P54</f>
        <v>8025.73396483836</v>
      </c>
      <c r="Q67" s="266">
        <f>'BS items '!Q54</f>
        <v>8291.25704018264</v>
      </c>
      <c r="R67" s="266">
        <f>'BS items '!R54</f>
        <v>8493.60519127629</v>
      </c>
    </row>
    <row r="68" ht="14.25" customHeight="1" spans="2:18">
      <c r="B68" s="3"/>
      <c r="C68" s="213"/>
      <c r="D68" s="66"/>
      <c r="E68" s="66"/>
      <c r="F68" s="66"/>
      <c r="G68" s="66"/>
      <c r="H68" s="66"/>
      <c r="I68" s="266"/>
      <c r="J68" s="266"/>
      <c r="K68" s="266"/>
      <c r="L68" s="266"/>
      <c r="M68" s="266"/>
      <c r="N68" s="266"/>
      <c r="O68" s="266"/>
      <c r="P68" s="266"/>
      <c r="Q68" s="266"/>
      <c r="R68" s="266"/>
    </row>
    <row r="69" s="130" customFormat="1" ht="14.25" customHeight="1" spans="2:18">
      <c r="B69" s="1" t="s">
        <v>305</v>
      </c>
      <c r="C69" s="268"/>
      <c r="D69" s="269">
        <f t="shared" ref="D69:R69" si="10">SUM(D62:D67)</f>
        <v>33603</v>
      </c>
      <c r="E69" s="270">
        <f t="shared" si="10"/>
        <v>39186</v>
      </c>
      <c r="F69" s="270">
        <f t="shared" si="10"/>
        <v>38794</v>
      </c>
      <c r="G69" s="270">
        <f t="shared" si="10"/>
        <v>42850</v>
      </c>
      <c r="H69" s="270">
        <f t="shared" si="10"/>
        <v>52322</v>
      </c>
      <c r="I69" s="271">
        <f t="shared" si="10"/>
        <v>52796.85991107</v>
      </c>
      <c r="J69" s="271">
        <f t="shared" si="10"/>
        <v>57827.7694389887</v>
      </c>
      <c r="K69" s="271">
        <f t="shared" si="10"/>
        <v>62808.7363974149</v>
      </c>
      <c r="L69" s="271">
        <f t="shared" si="10"/>
        <v>67650.7638757454</v>
      </c>
      <c r="M69" s="271">
        <f t="shared" si="10"/>
        <v>72261.0715314928</v>
      </c>
      <c r="N69" s="271">
        <f t="shared" si="10"/>
        <v>76545.6152058066</v>
      </c>
      <c r="O69" s="271">
        <f t="shared" si="10"/>
        <v>80411.7938643108</v>
      </c>
      <c r="P69" s="271">
        <f t="shared" si="10"/>
        <v>83771.259549297</v>
      </c>
      <c r="Q69" s="271">
        <f t="shared" si="10"/>
        <v>86542.7446942623</v>
      </c>
      <c r="R69" s="271">
        <f t="shared" si="10"/>
        <v>88654.8206188881</v>
      </c>
    </row>
    <row r="70" ht="14.25" customHeight="1" spans="2:18">
      <c r="B70" s="3"/>
      <c r="C70" s="213"/>
      <c r="D70" s="14"/>
      <c r="E70" s="14"/>
      <c r="F70" s="14"/>
      <c r="G70" s="14"/>
      <c r="H70" s="14"/>
      <c r="I70" s="238"/>
      <c r="J70" s="238"/>
      <c r="K70" s="238"/>
      <c r="L70" s="238"/>
      <c r="M70" s="238"/>
      <c r="N70" s="238"/>
      <c r="O70" s="238"/>
      <c r="P70" s="238"/>
      <c r="Q70" s="238"/>
      <c r="R70" s="238"/>
    </row>
    <row r="71" ht="14.25" customHeight="1" spans="2:18">
      <c r="B71" s="273" t="s">
        <v>137</v>
      </c>
      <c r="C71" s="273"/>
      <c r="D71" s="274">
        <f t="shared" ref="D71:R71" si="11">D69+D58+D49</f>
        <v>117885</v>
      </c>
      <c r="E71" s="274">
        <f t="shared" si="11"/>
        <v>125816</v>
      </c>
      <c r="F71" s="274">
        <f t="shared" si="11"/>
        <v>137814</v>
      </c>
      <c r="G71" s="274">
        <f t="shared" si="11"/>
        <v>148903</v>
      </c>
      <c r="H71" s="274">
        <f t="shared" si="11"/>
        <v>155967</v>
      </c>
      <c r="I71" s="274">
        <f ca="1" t="shared" si="11"/>
        <v>176396.705814575</v>
      </c>
      <c r="J71" s="274">
        <f ca="1" t="shared" si="11"/>
        <v>201649.975129731</v>
      </c>
      <c r="K71" s="274">
        <f ca="1" t="shared" si="11"/>
        <v>228459.955116853</v>
      </c>
      <c r="L71" s="274">
        <f ca="1" t="shared" si="11"/>
        <v>256623.158849362</v>
      </c>
      <c r="M71" s="274">
        <f ca="1" t="shared" si="11"/>
        <v>285963.777471442</v>
      </c>
      <c r="N71" s="274">
        <f ca="1" t="shared" si="11"/>
        <v>316242.121145912</v>
      </c>
      <c r="O71" s="274">
        <f ca="1" t="shared" si="11"/>
        <v>347158.279245225</v>
      </c>
      <c r="P71" s="274">
        <f ca="1" t="shared" si="11"/>
        <v>378454.788272316</v>
      </c>
      <c r="Q71" s="274">
        <f ca="1" t="shared" si="11"/>
        <v>409825.637616653</v>
      </c>
      <c r="R71" s="274">
        <f ca="1" t="shared" si="11"/>
        <v>440922.681116835</v>
      </c>
    </row>
    <row r="73" ht="14.25" customHeight="1" spans="2:18">
      <c r="D73" s="260">
        <f t="shared" ref="D73:R73" si="12">D40-D71</f>
        <v>0</v>
      </c>
      <c r="E73" s="260">
        <f t="shared" si="12"/>
        <v>0</v>
      </c>
      <c r="F73" s="260">
        <f t="shared" si="12"/>
        <v>0</v>
      </c>
      <c r="G73" s="260">
        <f t="shared" si="12"/>
        <v>0</v>
      </c>
      <c r="H73" s="260">
        <f t="shared" si="12"/>
        <v>0</v>
      </c>
      <c r="I73" s="260">
        <f ca="1" t="shared" si="12"/>
        <v>0</v>
      </c>
      <c r="J73" s="260">
        <f ca="1" t="shared" si="12"/>
        <v>0</v>
      </c>
      <c r="K73" s="260">
        <f ca="1" t="shared" si="12"/>
        <v>0</v>
      </c>
      <c r="L73" s="260">
        <f ca="1" t="shared" si="12"/>
        <v>0</v>
      </c>
      <c r="M73" s="260">
        <f ca="1" t="shared" si="12"/>
        <v>0</v>
      </c>
      <c r="N73" s="260">
        <f ca="1" t="shared" si="12"/>
        <v>0</v>
      </c>
      <c r="O73" s="260">
        <f ca="1" t="shared" si="12"/>
        <v>0</v>
      </c>
      <c r="P73" s="260">
        <f ca="1" t="shared" si="12"/>
        <v>0</v>
      </c>
      <c r="Q73" s="260">
        <f ca="1" t="shared" si="12"/>
        <v>0</v>
      </c>
      <c r="R73" s="260">
        <f ca="1" t="shared" si="12"/>
        <v>0</v>
      </c>
    </row>
  </sheetData>
  <mergeCells count="13">
    <mergeCell ref="Q6:R6"/>
    <mergeCell ref="B7:R7"/>
    <mergeCell ref="B10:C10"/>
    <mergeCell ref="B12:C12"/>
    <mergeCell ref="B28:C28"/>
    <mergeCell ref="B40:C40"/>
    <mergeCell ref="B42:C42"/>
    <mergeCell ref="B44:C44"/>
    <mergeCell ref="B51:C51"/>
    <mergeCell ref="B60:C60"/>
    <mergeCell ref="B71:C71"/>
    <mergeCell ref="B2:D4"/>
    <mergeCell ref="B8:C9"/>
  </mergeCells>
  <pageMargins left="0.7" right="0.7" top="0.75" bottom="0.75" header="0.511811023622047" footer="0.511811023622047"/>
  <pageSetup paperSize="9" orientation="portrait" horizontalDpi="300" verticalDpi="3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3:T41"/>
  <sheetViews>
    <sheetView showGridLines="0" zoomScale="85" zoomScaleNormal="85" topLeftCell="A14" workbookViewId="0">
      <selection activeCell="I43" sqref="I43"/>
    </sheetView>
  </sheetViews>
  <sheetFormatPr defaultColWidth="8.83333333333333" defaultRowHeight="14.4"/>
  <cols>
    <col min="1" max="1" width="6.16666666666667" style="118" customWidth="1"/>
    <col min="2" max="2" width="24.1666666666667" style="118" customWidth="1"/>
    <col min="3" max="3" width="9.51851851851852" style="118" customWidth="1"/>
    <col min="4" max="11" width="9.44444444444444" style="118" customWidth="1"/>
    <col min="18" max="18" width="31.8981481481481" style="118" customWidth="1"/>
    <col min="20" max="20" width="206.666666666667" style="118" customWidth="1"/>
  </cols>
  <sheetData>
    <row r="3" ht="14.25" customHeight="1" spans="2:20">
      <c r="B3" s="173" t="s">
        <v>21</v>
      </c>
      <c r="C3" s="173"/>
      <c r="D3" s="173"/>
    </row>
    <row r="4" ht="14.25" customHeight="1" spans="2:20">
      <c r="B4" s="173"/>
      <c r="C4" s="173"/>
      <c r="D4" s="173"/>
    </row>
    <row r="5" ht="14.25" customHeight="1" spans="2:20">
      <c r="B5" s="173"/>
      <c r="C5" s="173"/>
      <c r="D5" s="173"/>
    </row>
    <row r="6" ht="12" customHeight="1" spans="2:20">
      <c r="P6" s="11" t="str">
        <f>'Income Statement'!P6:Q6</f>
        <v>(INR in Crores)</v>
      </c>
      <c r="Q6" s="11"/>
      <c r="R6" s="234"/>
    </row>
    <row r="7" ht="15" customHeight="1" spans="2:20">
      <c r="B7" s="7" t="s">
        <v>16</v>
      </c>
      <c r="C7" s="7"/>
      <c r="D7" s="7"/>
      <c r="E7" s="7"/>
      <c r="F7" s="7"/>
      <c r="G7" s="7"/>
      <c r="H7" s="7"/>
      <c r="I7" s="7"/>
      <c r="J7" s="7"/>
      <c r="K7" s="7"/>
      <c r="L7" s="7"/>
      <c r="M7" s="7"/>
      <c r="N7" s="7"/>
      <c r="O7" s="7"/>
      <c r="P7" s="7"/>
      <c r="Q7" s="7"/>
      <c r="R7" s="7"/>
      <c r="T7" s="235" t="s">
        <v>306</v>
      </c>
    </row>
    <row r="8" ht="14.25" customHeight="1" spans="2:20">
      <c r="B8" s="212" t="s">
        <v>39</v>
      </c>
      <c r="C8" s="9">
        <f>'Balance Sheet'!D8</f>
        <v>2022</v>
      </c>
      <c r="D8" s="9">
        <f>'Balance Sheet'!E8</f>
        <v>2023</v>
      </c>
      <c r="E8" s="9">
        <f>'Balance Sheet'!F8</f>
        <v>2024</v>
      </c>
      <c r="F8" s="9">
        <f>'Balance Sheet'!G8</f>
        <v>2025</v>
      </c>
      <c r="G8" s="9">
        <f>'Balance Sheet'!H8</f>
        <v>2026</v>
      </c>
      <c r="H8" s="9">
        <f>'Balance Sheet'!I8</f>
        <v>2027</v>
      </c>
      <c r="I8" s="9">
        <f>'Balance Sheet'!J8</f>
        <v>2028</v>
      </c>
      <c r="J8" s="9">
        <f>'Balance Sheet'!K8</f>
        <v>2029</v>
      </c>
      <c r="K8" s="9">
        <f>'Balance Sheet'!L8</f>
        <v>2030</v>
      </c>
      <c r="L8" s="9">
        <f>'Balance Sheet'!M8</f>
        <v>2031</v>
      </c>
      <c r="M8" s="9">
        <f>'Balance Sheet'!N8</f>
        <v>2032</v>
      </c>
      <c r="N8" s="9">
        <f>'Balance Sheet'!O8</f>
        <v>2033</v>
      </c>
      <c r="O8" s="9">
        <f>'Balance Sheet'!P8</f>
        <v>2034</v>
      </c>
      <c r="P8" s="9">
        <f>'Balance Sheet'!Q8</f>
        <v>2035</v>
      </c>
      <c r="Q8" s="9">
        <f>'Balance Sheet'!R8</f>
        <v>2036</v>
      </c>
      <c r="R8" s="236" t="s">
        <v>307</v>
      </c>
      <c r="T8" s="235"/>
    </row>
    <row r="9" ht="14.25" customHeight="1" spans="2:20">
      <c r="B9" s="212"/>
      <c r="C9" s="11" t="s">
        <v>84</v>
      </c>
      <c r="D9" s="11" t="s">
        <v>84</v>
      </c>
      <c r="E9" s="11" t="s">
        <v>84</v>
      </c>
      <c r="F9" s="11" t="s">
        <v>84</v>
      </c>
      <c r="G9" s="11" t="s">
        <v>84</v>
      </c>
      <c r="H9" s="12" t="s">
        <v>234</v>
      </c>
      <c r="I9" s="12" t="s">
        <v>235</v>
      </c>
      <c r="J9" s="12" t="s">
        <v>235</v>
      </c>
      <c r="K9" s="12" t="s">
        <v>235</v>
      </c>
      <c r="L9" s="12" t="s">
        <v>235</v>
      </c>
      <c r="M9" s="12" t="s">
        <v>235</v>
      </c>
      <c r="N9" s="12" t="s">
        <v>235</v>
      </c>
      <c r="O9" s="12" t="s">
        <v>235</v>
      </c>
      <c r="P9" s="12" t="s">
        <v>235</v>
      </c>
      <c r="Q9" s="12" t="s">
        <v>235</v>
      </c>
      <c r="R9" s="236"/>
      <c r="T9" s="235"/>
    </row>
    <row r="10" ht="14.25" customHeight="1" spans="2:20">
      <c r="B10" s="237"/>
      <c r="H10" s="238"/>
      <c r="I10" s="238"/>
      <c r="J10" s="238"/>
      <c r="K10" s="238"/>
      <c r="L10" s="238"/>
      <c r="M10" s="238"/>
      <c r="N10" s="238"/>
      <c r="O10" s="238"/>
      <c r="P10" s="238"/>
      <c r="Q10" s="238"/>
      <c r="R10" s="238"/>
      <c r="T10" s="239"/>
    </row>
    <row r="11" ht="14.25" customHeight="1" spans="2:20">
      <c r="B11" s="240" t="s">
        <v>308</v>
      </c>
      <c r="C11" s="241"/>
      <c r="D11" s="1"/>
      <c r="E11" s="1"/>
      <c r="F11" s="1"/>
      <c r="G11" s="1"/>
      <c r="H11" s="242"/>
      <c r="I11" s="242"/>
      <c r="J11" s="242"/>
      <c r="K11" s="242"/>
      <c r="L11" s="242"/>
      <c r="M11" s="242"/>
      <c r="N11" s="242"/>
      <c r="O11" s="242"/>
      <c r="P11" s="242"/>
      <c r="Q11" s="242"/>
      <c r="R11" s="242"/>
      <c r="T11" s="241"/>
    </row>
    <row r="12" ht="31.5" customHeight="1" spans="2:20">
      <c r="B12" s="243" t="s">
        <v>309</v>
      </c>
      <c r="C12" s="244">
        <f>'Income Statement'!C27/'Income Statement'!C14</f>
        <v>0.258884751029669</v>
      </c>
      <c r="D12" s="244">
        <f>'Income Statement'!D27/'Income Statement'!D14</f>
        <v>0.239358983967786</v>
      </c>
      <c r="E12" s="244">
        <f>'Income Statement'!E27/'Income Statement'!E14</f>
        <v>0.237033903819874</v>
      </c>
      <c r="F12" s="244">
        <f>'Income Statement'!F27/'Income Statement'!F14</f>
        <v>0.240726424934045</v>
      </c>
      <c r="G12" s="244">
        <f>'Income Statement'!G27/'Income Statement'!G14</f>
        <v>0.236663867898125</v>
      </c>
      <c r="H12" s="245">
        <f>'Income Statement'!H27/'Income Statement'!H14</f>
        <v>0.403785971229286</v>
      </c>
      <c r="I12" s="245">
        <f>'Income Statement'!I27/'Income Statement'!I14</f>
        <v>0.403785971229285</v>
      </c>
      <c r="J12" s="245">
        <f>'Income Statement'!J27/'Income Statement'!J14</f>
        <v>0.403785971229283</v>
      </c>
      <c r="K12" s="245">
        <f>'Income Statement'!K27/'Income Statement'!K14</f>
        <v>0.403785971229282</v>
      </c>
      <c r="L12" s="245">
        <f>'Income Statement'!L27/'Income Statement'!L14</f>
        <v>0.403785971229285</v>
      </c>
      <c r="M12" s="245">
        <f>'Income Statement'!M27/'Income Statement'!M14</f>
        <v>0.403785971229285</v>
      </c>
      <c r="N12" s="245">
        <f>'Income Statement'!N27/'Income Statement'!N14</f>
        <v>0.403785971229285</v>
      </c>
      <c r="O12" s="245">
        <f>'Income Statement'!O27/'Income Statement'!O14</f>
        <v>0.403785971229283</v>
      </c>
      <c r="P12" s="245">
        <f>'Income Statement'!P27/'Income Statement'!P14</f>
        <v>0.403785971229286</v>
      </c>
      <c r="Q12" s="245">
        <f>'Income Statement'!Q27/'Income Statement'!Q14</f>
        <v>0.403785971229285</v>
      </c>
      <c r="R12" s="246"/>
      <c r="T12" s="247" t="s">
        <v>310</v>
      </c>
    </row>
    <row r="13" ht="48" customHeight="1" spans="2:20">
      <c r="B13" s="243" t="s">
        <v>311</v>
      </c>
      <c r="C13" s="244">
        <f>'Income Statement'!C31/'Income Statement'!C14</f>
        <v>0.230308859677247</v>
      </c>
      <c r="D13" s="244">
        <f>'Income Statement'!D31/'Income Statement'!D14</f>
        <v>0.210571858796596</v>
      </c>
      <c r="E13" s="244">
        <f>'Income Statement'!E31/'Income Statement'!E14</f>
        <v>0.20659204789484</v>
      </c>
      <c r="F13" s="244">
        <f>'Income Statement'!F31/'Income Statement'!F14</f>
        <v>0.211203141297012</v>
      </c>
      <c r="G13" s="244">
        <f>'Income Statement'!G31/'Income Statement'!G14</f>
        <v>0.20922474111391</v>
      </c>
      <c r="H13" s="245">
        <f ca="1">'Income Statement'!H31/'Income Statement'!H14</f>
        <v>0.387047850625898</v>
      </c>
      <c r="I13" s="245">
        <f ca="1">'Income Statement'!I31/'Income Statement'!I14</f>
        <v>0.388504036317304</v>
      </c>
      <c r="J13" s="245">
        <f ca="1">'Income Statement'!J31/'Income Statement'!J14</f>
        <v>0.389715950729586</v>
      </c>
      <c r="K13" s="245">
        <f ca="1">'Income Statement'!K31/'Income Statement'!K14</f>
        <v>0.390200477668461</v>
      </c>
      <c r="L13" s="245">
        <f ca="1">'Income Statement'!L31/'Income Statement'!L14</f>
        <v>0.39106724180084</v>
      </c>
      <c r="M13" s="245">
        <f ca="1">'Income Statement'!M31/'Income Statement'!M14</f>
        <v>0.391779156540456</v>
      </c>
      <c r="N13" s="245">
        <f ca="1">'Income Statement'!N31/'Income Statement'!N14</f>
        <v>0.391899259942727</v>
      </c>
      <c r="O13" s="245">
        <f ca="1">'Income Statement'!O31/'Income Statement'!O14</f>
        <v>0.392375950861417</v>
      </c>
      <c r="P13" s="245">
        <f ca="1">'Income Statement'!P31/'Income Statement'!P14</f>
        <v>0.39274135066547</v>
      </c>
      <c r="Q13" s="245">
        <f ca="1">'Income Statement'!Q31/'Income Statement'!Q14</f>
        <v>0.39257321323296</v>
      </c>
      <c r="R13" s="246"/>
      <c r="T13" s="247" t="s">
        <v>312</v>
      </c>
    </row>
    <row r="14" ht="45" customHeight="1" spans="2:20">
      <c r="B14" s="243" t="s">
        <v>313</v>
      </c>
      <c r="C14" s="244">
        <f>'Income Statement'!C40/'Income Statement'!C14</f>
        <v>0.247531671064855</v>
      </c>
      <c r="D14" s="244">
        <f>'Income Statement'!D40/'Income Statement'!D14</f>
        <v>0.227040138450742</v>
      </c>
      <c r="E14" s="244">
        <f>'Income Statement'!E40/'Income Statement'!E14</f>
        <v>0.234190147719138</v>
      </c>
      <c r="F14" s="244">
        <f>'Income Statement'!F40/'Income Statement'!F14</f>
        <v>0.230738082090926</v>
      </c>
      <c r="G14" s="244">
        <f>'Income Statement'!G40/'Income Statement'!G14</f>
        <v>0.223873495661909</v>
      </c>
      <c r="H14" s="245">
        <f ca="1">'Income Statement'!H40/'Income Statement'!H14</f>
        <v>0.363845658888031</v>
      </c>
      <c r="I14" s="245">
        <f ca="1">'Income Statement'!I40/'Income Statement'!I14</f>
        <v>0.365301844579436</v>
      </c>
      <c r="J14" s="245">
        <f ca="1">'Income Statement'!J40/'Income Statement'!J14</f>
        <v>0.366513758991719</v>
      </c>
      <c r="K14" s="245">
        <f ca="1">'Income Statement'!K40/'Income Statement'!K14</f>
        <v>0.366998285930594</v>
      </c>
      <c r="L14" s="245">
        <f ca="1">'Income Statement'!L40/'Income Statement'!L14</f>
        <v>0.367865050062973</v>
      </c>
      <c r="M14" s="245">
        <f ca="1">'Income Statement'!M40/'Income Statement'!M14</f>
        <v>0.368576964802589</v>
      </c>
      <c r="N14" s="245">
        <f ca="1">'Income Statement'!N40/'Income Statement'!N14</f>
        <v>0.368697068204859</v>
      </c>
      <c r="O14" s="245">
        <f ca="1">'Income Statement'!O40/'Income Statement'!O14</f>
        <v>0.36917375912355</v>
      </c>
      <c r="P14" s="245">
        <f ca="1">'Income Statement'!P40/'Income Statement'!P14</f>
        <v>0.369539158927603</v>
      </c>
      <c r="Q14" s="245">
        <f ca="1">'Income Statement'!Q40/'Income Statement'!Q14</f>
        <v>0.369371021495092</v>
      </c>
      <c r="R14" s="246"/>
      <c r="T14" s="247" t="s">
        <v>314</v>
      </c>
    </row>
    <row r="15" ht="46.5" customHeight="1" spans="2:20">
      <c r="B15" s="243" t="s">
        <v>258</v>
      </c>
      <c r="C15" s="244">
        <f>'Cost Buildup'!C37</f>
        <v>0.264496844902026</v>
      </c>
      <c r="D15" s="244">
        <f>'Cost Buildup'!D37</f>
        <v>0.27651401476502</v>
      </c>
      <c r="E15" s="244">
        <f>'Cost Buildup'!E37</f>
        <v>0.270645770812493</v>
      </c>
      <c r="F15" s="244">
        <f>'Cost Buildup'!F37</f>
        <v>0.288715166985748</v>
      </c>
      <c r="G15" s="244">
        <f>'Cost Buildup'!G37</f>
        <v>0.263057882235279</v>
      </c>
      <c r="H15" s="245">
        <f>'Cost Buildup'!H37</f>
        <v>0.266057882235279</v>
      </c>
      <c r="I15" s="245">
        <f>'Cost Buildup'!I37</f>
        <v>0.269057882235279</v>
      </c>
      <c r="J15" s="245">
        <f>'Cost Buildup'!J37</f>
        <v>0.272057882235279</v>
      </c>
      <c r="K15" s="245">
        <f>'Cost Buildup'!K37</f>
        <v>0.275057882235279</v>
      </c>
      <c r="L15" s="245">
        <f>'Cost Buildup'!L37</f>
        <v>0.278057882235279</v>
      </c>
      <c r="M15" s="245">
        <f>'Cost Buildup'!M37</f>
        <v>0.281057882235279</v>
      </c>
      <c r="N15" s="245">
        <f>'Cost Buildup'!N37</f>
        <v>0.284057882235279</v>
      </c>
      <c r="O15" s="245">
        <f>'Cost Buildup'!O37</f>
        <v>0.287057882235279</v>
      </c>
      <c r="P15" s="245">
        <f>'Cost Buildup'!P37</f>
        <v>0.290057882235279</v>
      </c>
      <c r="Q15" s="245">
        <f>'Cost Buildup'!Q37</f>
        <v>0.293057882235279</v>
      </c>
      <c r="R15" s="246"/>
      <c r="T15" s="247" t="s">
        <v>315</v>
      </c>
    </row>
    <row r="16" ht="46.5" customHeight="1" spans="2:20">
      <c r="B16" s="243" t="s">
        <v>316</v>
      </c>
      <c r="C16" s="244">
        <f>'Income Statement'!C44/'Income Statement'!C14</f>
        <v>0.182060325054875</v>
      </c>
      <c r="D16" s="244">
        <f>'Income Statement'!D44/'Income Statement'!D14</f>
        <v>0.164260358254921</v>
      </c>
      <c r="E16" s="244">
        <f>'Income Statement'!E44/'Income Statement'!E14</f>
        <v>0.170807574673001</v>
      </c>
      <c r="F16" s="244">
        <f>'Income Statement'!F44/'Income Statement'!F14</f>
        <v>0.164120498190073</v>
      </c>
      <c r="G16" s="244">
        <f>'Income Statement'!G44/'Income Statement'!G14</f>
        <v>0.164981808004478</v>
      </c>
      <c r="H16" s="245">
        <f ca="1">'Income Statement'!H44/'Income Statement'!H14</f>
        <v>0.267041653423782</v>
      </c>
      <c r="I16" s="245">
        <f ca="1">'Income Statement'!I44/'Income Statement'!I14</f>
        <v>0.267014503900252</v>
      </c>
      <c r="J16" s="245">
        <f ca="1">'Income Statement'!J44/'Income Statement'!J14</f>
        <v>0.266800801910341</v>
      </c>
      <c r="K16" s="245">
        <f ca="1">'Income Statement'!K44/'Income Statement'!K14</f>
        <v>0.266052514618548</v>
      </c>
      <c r="L16" s="245">
        <f ca="1">'Income Statement'!L44/'Income Statement'!L14</f>
        <v>0.265577273294088</v>
      </c>
      <c r="M16" s="245">
        <f ca="1">'Income Statement'!M44/'Income Statement'!M14</f>
        <v>0.264985503634466</v>
      </c>
      <c r="N16" s="245">
        <f ca="1">'Income Statement'!N44/'Income Statement'!N14</f>
        <v>0.263965759824231</v>
      </c>
      <c r="O16" s="245">
        <f ca="1">'Income Statement'!O44/'Income Statement'!O14</f>
        <v>0.263199521652707</v>
      </c>
      <c r="P16" s="245">
        <f ca="1">'Income Statement'!P44/'Income Statement'!P14</f>
        <v>0.262351413086056</v>
      </c>
      <c r="Q16" s="245">
        <f ca="1">'Income Statement'!Q44/'Income Statement'!Q14</f>
        <v>0.261123932176659</v>
      </c>
      <c r="R16" s="246"/>
      <c r="T16" s="247" t="s">
        <v>317</v>
      </c>
    </row>
    <row r="17" ht="15" customHeight="1" spans="2:20">
      <c r="B17" s="240" t="s">
        <v>318</v>
      </c>
      <c r="C17" s="241"/>
      <c r="D17" s="241"/>
      <c r="E17" s="241"/>
      <c r="F17" s="241"/>
      <c r="G17" s="241"/>
      <c r="H17" s="248"/>
      <c r="I17" s="248"/>
      <c r="J17" s="248"/>
      <c r="K17" s="248"/>
      <c r="L17" s="248"/>
      <c r="M17" s="248"/>
      <c r="N17" s="248"/>
      <c r="O17" s="248"/>
      <c r="P17" s="248"/>
      <c r="Q17" s="248"/>
      <c r="R17" s="246"/>
      <c r="T17" s="249"/>
    </row>
    <row r="18" ht="45" customHeight="1" spans="2:20">
      <c r="B18" s="243" t="s">
        <v>113</v>
      </c>
      <c r="C18" s="239"/>
      <c r="D18" s="244">
        <f>'Income Statement'!D14/AVERAGE('Balance Sheet'!D40:E40)</f>
        <v>1.20448418348714</v>
      </c>
      <c r="E18" s="244">
        <f>'Income Statement'!E14/AVERAGE('Balance Sheet'!E40:F40)</f>
        <v>1.16580055380647</v>
      </c>
      <c r="F18" s="244">
        <f>'Income Statement'!F14/AVERAGE('Balance Sheet'!F40:G40)</f>
        <v>1.136939909388</v>
      </c>
      <c r="G18" s="244">
        <f>'Income Statement'!G14/AVERAGE('Balance Sheet'!G40:H40)</f>
        <v>1.17197494013842</v>
      </c>
      <c r="H18" s="245">
        <f ca="1">'Income Statement'!H14/AVERAGE('Balance Sheet'!H40:I40)</f>
        <v>1.1085818074203</v>
      </c>
      <c r="I18" s="245">
        <f ca="1">'Income Statement'!I14/AVERAGE('Balance Sheet'!I40:J40)</f>
        <v>1.06749108681927</v>
      </c>
      <c r="J18" s="245">
        <f ca="1">'Income Statement'!J14/AVERAGE('Balance Sheet'!J40:K40)</f>
        <v>1.01909303390222</v>
      </c>
      <c r="K18" s="245">
        <f ca="1">'Income Statement'!K14/AVERAGE('Balance Sheet'!K40:L40)</f>
        <v>0.973262060594039</v>
      </c>
      <c r="L18" s="245">
        <f ca="1">'Income Statement'!L14/AVERAGE('Balance Sheet'!L40:M40)</f>
        <v>0.929412074424344</v>
      </c>
      <c r="M18" s="245">
        <f ca="1">'Income Statement'!M14/AVERAGE('Balance Sheet'!M40:N40)</f>
        <v>0.887050937014309</v>
      </c>
      <c r="N18" s="245">
        <f ca="1">'Income Statement'!N14/AVERAGE('Balance Sheet'!N40:O40)</f>
        <v>0.845896577098371</v>
      </c>
      <c r="O18" s="245">
        <f ca="1">'Income Statement'!O14/AVERAGE('Balance Sheet'!O40:P40)</f>
        <v>0.805681137810899</v>
      </c>
      <c r="P18" s="245">
        <f ca="1">'Income Statement'!P14/AVERAGE('Balance Sheet'!P40:Q40)</f>
        <v>0.766166516701819</v>
      </c>
      <c r="Q18" s="245">
        <f ca="1">'Income Statement'!Q14/AVERAGE('Balance Sheet'!Q40:R40)</f>
        <v>0.727234547718786</v>
      </c>
      <c r="R18" s="246"/>
      <c r="T18" s="247" t="s">
        <v>319</v>
      </c>
    </row>
    <row r="19" ht="49.5" customHeight="1" spans="2:20">
      <c r="B19" s="243" t="s">
        <v>320</v>
      </c>
      <c r="C19" s="239"/>
      <c r="D19" s="244">
        <f>'Income Statement'!D40/AVERAGE('Balance Sheet'!D40:E40)</f>
        <v>0.273466255780649</v>
      </c>
      <c r="E19" s="244">
        <f>'Income Statement'!E40/AVERAGE('Balance Sheet'!E40:F40)</f>
        <v>0.273019003906991</v>
      </c>
      <c r="F19" s="244">
        <f>'Income Statement'!F40/AVERAGE('Balance Sheet'!F40:G40)</f>
        <v>0.262335334144819</v>
      </c>
      <c r="G19" s="244">
        <f>'Income Statement'!G40/AVERAGE('Balance Sheet'!G40:H40)</f>
        <v>0.262374126676944</v>
      </c>
      <c r="H19" s="245">
        <f ca="1">'Income Statement'!H40/AVERAGE('Balance Sheet'!H40:I40)</f>
        <v>0.403352678152125</v>
      </c>
      <c r="I19" s="245">
        <f ca="1">'Income Statement'!I40/AVERAGE('Balance Sheet'!I40:J40)</f>
        <v>0.389956463087187</v>
      </c>
      <c r="J19" s="245">
        <f ca="1">'Income Statement'!J40/AVERAGE('Balance Sheet'!J40:K40)</f>
        <v>0.373511618617777</v>
      </c>
      <c r="K19" s="245">
        <f ca="1">'Income Statement'!K40/AVERAGE('Balance Sheet'!K40:L40)</f>
        <v>0.357185507999291</v>
      </c>
      <c r="L19" s="245">
        <f ca="1">'Income Statement'!L40/AVERAGE('Balance Sheet'!L40:M40)</f>
        <v>0.341898219287243</v>
      </c>
      <c r="M19" s="245">
        <f ca="1">'Income Statement'!M40/AVERAGE('Balance Sheet'!M40:N40)</f>
        <v>0.326946541990026</v>
      </c>
      <c r="N19" s="245">
        <f ca="1">'Income Statement'!N40/AVERAGE('Balance Sheet'!N40:O40)</f>
        <v>0.311879587980695</v>
      </c>
      <c r="O19" s="245">
        <f ca="1">'Income Statement'!O40/AVERAGE('Balance Sheet'!O40:P40)</f>
        <v>0.297436334300588</v>
      </c>
      <c r="P19" s="245">
        <f ca="1">'Income Statement'!P40/AVERAGE('Balance Sheet'!P40:Q40)</f>
        <v>0.283128530180481</v>
      </c>
      <c r="Q19" s="245">
        <f ca="1">'Income Statement'!Q40/AVERAGE('Balance Sheet'!Q40:R40)</f>
        <v>0.268619367757409</v>
      </c>
      <c r="R19" s="246"/>
      <c r="T19" s="247" t="s">
        <v>321</v>
      </c>
    </row>
    <row r="20" ht="54.75" customHeight="1" spans="2:20">
      <c r="B20" s="243" t="s">
        <v>322</v>
      </c>
      <c r="C20" s="239"/>
      <c r="D20" s="244">
        <f>'Income Statement'!D40/AVERAGE('Balance Sheet'!D49:E49)</f>
        <v>0.43980439646013</v>
      </c>
      <c r="E20" s="244">
        <f>'Income Statement'!E40/AVERAGE('Balance Sheet'!E49:F49)</f>
        <v>0.438194038573933</v>
      </c>
      <c r="F20" s="244">
        <f>'Income Statement'!F40/AVERAGE('Balance Sheet'!F49:G49)</f>
        <v>0.407312740978209</v>
      </c>
      <c r="G20" s="244">
        <f>'Income Statement'!G40/AVERAGE('Balance Sheet'!G49:H49)</f>
        <v>0.422110817941952</v>
      </c>
      <c r="H20" s="245">
        <f ca="1">'Income Statement'!H40/AVERAGE('Balance Sheet'!H49:I49)</f>
        <v>0.657378858455159</v>
      </c>
      <c r="I20" s="245">
        <f ca="1">'Income Statement'!I40/AVERAGE('Balance Sheet'!I49:J49)</f>
        <v>0.613606770822767</v>
      </c>
      <c r="J20" s="245">
        <f ca="1">'Income Statement'!J40/AVERAGE('Balance Sheet'!J49:K49)</f>
        <v>0.574067355346357</v>
      </c>
      <c r="K20" s="245">
        <f ca="1">'Income Statement'!K40/AVERAGE('Balance Sheet'!K49:L49)</f>
        <v>0.537113404432026</v>
      </c>
      <c r="L20" s="245">
        <f ca="1">'Income Statement'!L40/AVERAGE('Balance Sheet'!L49:M49)</f>
        <v>0.503670766197869</v>
      </c>
      <c r="M20" s="245">
        <f ca="1">'Income Statement'!M40/AVERAGE('Balance Sheet'!M49:N49)</f>
        <v>0.472320780662156</v>
      </c>
      <c r="N20" s="245">
        <f ca="1">'Income Statement'!N40/AVERAGE('Balance Sheet'!N49:O49)</f>
        <v>0.442193764433896</v>
      </c>
      <c r="O20" s="245">
        <f ca="1">'Income Statement'!O40/AVERAGE('Balance Sheet'!O49:P49)</f>
        <v>0.414162030145566</v>
      </c>
      <c r="P20" s="245">
        <f ca="1">'Income Statement'!P40/AVERAGE('Balance Sheet'!P49:Q49)</f>
        <v>0.387379206217025</v>
      </c>
      <c r="Q20" s="245">
        <f ca="1">'Income Statement'!Q40/AVERAGE('Balance Sheet'!Q49:R49)</f>
        <v>0.361293943431896</v>
      </c>
      <c r="R20" s="246"/>
      <c r="T20" s="247" t="s">
        <v>323</v>
      </c>
    </row>
    <row r="21" ht="51" customHeight="1" spans="2:20">
      <c r="B21" s="243" t="s">
        <v>324</v>
      </c>
      <c r="C21" s="250">
        <f>'Income Statement'!C44/'Income Statement'!C40</f>
        <v>0.735503155097974</v>
      </c>
      <c r="D21" s="250">
        <f>'Income Statement'!D44/'Income Statement'!D40</f>
        <v>0.72348598523498</v>
      </c>
      <c r="E21" s="250">
        <f>'Income Statement'!E44/'Income Statement'!E40</f>
        <v>0.729354229187507</v>
      </c>
      <c r="F21" s="250">
        <f>'Income Statement'!F44/'Income Statement'!F40</f>
        <v>0.711284833014252</v>
      </c>
      <c r="G21" s="250">
        <f>'Income Statement'!G44/'Income Statement'!G40</f>
        <v>0.736942117764721</v>
      </c>
      <c r="H21" s="251">
        <f ca="1">'Income Statement'!H44/'Income Statement'!H40</f>
        <v>0.733942117764721</v>
      </c>
      <c r="I21" s="251">
        <f ca="1">'Income Statement'!I44/'Income Statement'!I40</f>
        <v>0.730942117764721</v>
      </c>
      <c r="J21" s="251">
        <f ca="1">'Income Statement'!J44/'Income Statement'!J40</f>
        <v>0.727942117764721</v>
      </c>
      <c r="K21" s="251">
        <f ca="1">'Income Statement'!K44/'Income Statement'!K40</f>
        <v>0.724942117764721</v>
      </c>
      <c r="L21" s="251">
        <f ca="1">'Income Statement'!L44/'Income Statement'!L40</f>
        <v>0.721942117764721</v>
      </c>
      <c r="M21" s="251">
        <f ca="1">'Income Statement'!M44/'Income Statement'!M40</f>
        <v>0.718942117764721</v>
      </c>
      <c r="N21" s="251">
        <f ca="1">'Income Statement'!N44/'Income Statement'!N40</f>
        <v>0.715942117764721</v>
      </c>
      <c r="O21" s="251">
        <f ca="1">'Income Statement'!O44/'Income Statement'!O40</f>
        <v>0.712942117764721</v>
      </c>
      <c r="P21" s="251">
        <f ca="1">'Income Statement'!P44/'Income Statement'!P40</f>
        <v>0.709942117764721</v>
      </c>
      <c r="Q21" s="251">
        <f ca="1">'Income Statement'!Q44/'Income Statement'!Q40</f>
        <v>0.706942117764721</v>
      </c>
      <c r="R21" s="246"/>
      <c r="T21" s="247" t="s">
        <v>325</v>
      </c>
    </row>
    <row r="22" ht="54.75" customHeight="1" spans="2:20">
      <c r="B22" s="243" t="s">
        <v>115</v>
      </c>
      <c r="C22" s="239"/>
      <c r="D22" s="244">
        <f>'Income Statement'!D44/AVERAGE('Balance Sheet'!D49:E49)</f>
        <v>0.318192317083633</v>
      </c>
      <c r="E22" s="244">
        <f>'Income Statement'!E44/AVERAGE('Balance Sheet'!E49:F49)</f>
        <v>0.319598675238652</v>
      </c>
      <c r="F22" s="244">
        <f>'Income Statement'!F44/AVERAGE('Balance Sheet'!F49:G49)</f>
        <v>0.289715374951263</v>
      </c>
      <c r="G22" s="244">
        <f>'Income Statement'!G44/AVERAGE('Balance Sheet'!G49:H49)</f>
        <v>0.311071240105541</v>
      </c>
      <c r="H22" s="245">
        <f ca="1">'Income Statement'!H44/AVERAGE('Balance Sheet'!H49:I49)</f>
        <v>0.482478031548334</v>
      </c>
      <c r="I22" s="245">
        <f ca="1">'Income Statement'!I44/AVERAGE('Balance Sheet'!I49:J49)</f>
        <v>0.448511032539965</v>
      </c>
      <c r="J22" s="245">
        <f ca="1">'Income Statement'!J44/AVERAGE('Balance Sheet'!J49:K49)</f>
        <v>0.417887806390419</v>
      </c>
      <c r="K22" s="245">
        <f ca="1">'Income Statement'!K44/AVERAGE('Balance Sheet'!K49:L49)</f>
        <v>0.389376128888772</v>
      </c>
      <c r="L22" s="245">
        <f ca="1">'Income Statement'!L44/AVERAGE('Balance Sheet'!L49:M49)</f>
        <v>0.363621139605069</v>
      </c>
      <c r="M22" s="245">
        <f ca="1">'Income Statement'!M44/AVERAGE('Balance Sheet'!M49:N49)</f>
        <v>0.339571302313537</v>
      </c>
      <c r="N22" s="245">
        <f ca="1">'Income Statement'!N44/AVERAGE('Balance Sheet'!N49:O49)</f>
        <v>0.316585140171158</v>
      </c>
      <c r="O22" s="245">
        <f ca="1">'Income Statement'!O44/AVERAGE('Balance Sheet'!O49:P49)</f>
        <v>0.295273554869716</v>
      </c>
      <c r="P22" s="245">
        <f ca="1">'Income Statement'!P44/AVERAGE('Balance Sheet'!P49:Q49)</f>
        <v>0.275016814039731</v>
      </c>
      <c r="Q22" s="245">
        <f ca="1">'Income Statement'!Q44/AVERAGE('Balance Sheet'!Q49:R49)</f>
        <v>0.255413905505312</v>
      </c>
      <c r="R22" s="246"/>
      <c r="T22" s="247" t="s">
        <v>326</v>
      </c>
    </row>
    <row r="23" ht="54.75" customHeight="1" spans="2:20">
      <c r="B23" s="243" t="s">
        <v>327</v>
      </c>
      <c r="C23" s="250">
        <f>('Income Statement'!C44-'Income Statement'!C48)/'Income Statement'!C44</f>
        <v>0.411225503476926</v>
      </c>
      <c r="D23" s="250">
        <f>('Income Statement'!D44-'Income Statement'!D48)/'Income Statement'!D44</f>
        <v>0.410859465737515</v>
      </c>
      <c r="E23" s="250">
        <f>('Income Statement'!E44-'Income Statement'!E48)/'Income Statement'!E44</f>
        <v>0.272592197500762</v>
      </c>
      <c r="F23" s="250">
        <f>('Income Statement'!F44-'Income Statement'!F48)/'Income Statement'!F44</f>
        <v>0.334056074766355</v>
      </c>
      <c r="G23" s="250">
        <f>('Income Statement'!G44-'Income Statement'!G48)/'Income Statement'!G44</f>
        <v>0.333276786320147</v>
      </c>
      <c r="H23" s="251">
        <f ca="1">('Income Statement'!H44-'Income Statement'!H48)/'Income Statement'!H44</f>
        <v>0.352402005560341</v>
      </c>
      <c r="I23" s="251">
        <f ca="1">('Income Statement'!I44-'Income Statement'!I48)/'Income Statement'!I44</f>
        <v>0.352402005560341</v>
      </c>
      <c r="J23" s="251">
        <f ca="1">('Income Statement'!J44-'Income Statement'!J48)/'Income Statement'!J44</f>
        <v>0.352402005560341</v>
      </c>
      <c r="K23" s="251">
        <f ca="1">('Income Statement'!K44-'Income Statement'!K48)/'Income Statement'!K44</f>
        <v>0.352402005560341</v>
      </c>
      <c r="L23" s="251">
        <f ca="1">('Income Statement'!L44-'Income Statement'!L48)/'Income Statement'!L44</f>
        <v>0.352402005560341</v>
      </c>
      <c r="M23" s="251">
        <f ca="1">('Income Statement'!M44-'Income Statement'!M48)/'Income Statement'!M44</f>
        <v>0.352402005560341</v>
      </c>
      <c r="N23" s="251">
        <f ca="1">('Income Statement'!N44-'Income Statement'!N48)/'Income Statement'!N44</f>
        <v>0.352402005560341</v>
      </c>
      <c r="O23" s="251">
        <f ca="1">('Income Statement'!O44-'Income Statement'!O48)/'Income Statement'!O44</f>
        <v>0.352402005560341</v>
      </c>
      <c r="P23" s="251">
        <f ca="1">('Income Statement'!P44-'Income Statement'!P48)/'Income Statement'!P44</f>
        <v>0.352402005560341</v>
      </c>
      <c r="Q23" s="251">
        <f ca="1">('Income Statement'!Q44-'Income Statement'!Q48)/'Income Statement'!Q44</f>
        <v>0.352402005560341</v>
      </c>
      <c r="R23" s="246"/>
      <c r="T23" s="247" t="s">
        <v>328</v>
      </c>
    </row>
    <row r="24" ht="49.5" customHeight="1" spans="2:20">
      <c r="B24" s="243" t="s">
        <v>329</v>
      </c>
      <c r="C24" s="239"/>
      <c r="D24" s="244">
        <f>(FAS!D168-'Income Statement'!D29+('Working Capital'!D24))/('Income Statement'!D31*D21)</f>
        <v>-0.183368607109564</v>
      </c>
      <c r="E24" s="244">
        <f>(FAS!E168-'Income Statement'!E29+('Working Capital'!E24))/('Income Statement'!E31*E21)</f>
        <v>-0.290868306587359</v>
      </c>
      <c r="F24" s="244">
        <f>(FAS!F168-'Income Statement'!F29+('Working Capital'!F24))/('Income Statement'!F31*F21)</f>
        <v>0.031120752528664</v>
      </c>
      <c r="G24" s="244">
        <f>(FAS!G168-'Income Statement'!G29+('Working Capital'!G24))/('Income Statement'!G31*G21)</f>
        <v>-0.0772905190223565</v>
      </c>
      <c r="H24" s="245">
        <f ca="1">(FAS!H168-'Income Statement'!H29+('Working Capital'!H24))/('Income Statement'!H31*H21)</f>
        <v>0.0258876069097135</v>
      </c>
      <c r="I24" s="245">
        <f ca="1">(FAS!I168-'Income Statement'!I29+('Working Capital'!I24))/('Income Statement'!I31*I21)</f>
        <v>0.0594503865870955</v>
      </c>
      <c r="J24" s="245">
        <f ca="1">(FAS!J168-'Income Statement'!J29+('Working Capital'!J24))/('Income Statement'!J31*J21)</f>
        <v>0.0543824917773822</v>
      </c>
      <c r="K24" s="245">
        <f ca="1">(FAS!K168-'Income Statement'!K29+('Working Capital'!K24))/('Income Statement'!K31*K21)</f>
        <v>0.0500668208374898</v>
      </c>
      <c r="L24" s="245">
        <f ca="1">(FAS!L168-'Income Statement'!L29+('Working Capital'!L24))/('Income Statement'!L31*L21)</f>
        <v>0.045304338725907</v>
      </c>
      <c r="M24" s="245">
        <f ca="1">(FAS!M168-'Income Statement'!M29+('Working Capital'!M24))/('Income Statement'!M31*M21)</f>
        <v>0.0406618620987603</v>
      </c>
      <c r="N24" s="245">
        <f ca="1">(FAS!N168-'Income Statement'!N29+('Working Capital'!N24))/('Income Statement'!N31*N21)</f>
        <v>0.0365806163585368</v>
      </c>
      <c r="O24" s="245">
        <f ca="1">(FAS!O168-'Income Statement'!O29+('Working Capital'!O24))/('Income Statement'!O31*O21)</f>
        <v>0.032059343878108</v>
      </c>
      <c r="P24" s="245">
        <f ca="1">(FAS!P168-'Income Statement'!P29+('Working Capital'!P24))/('Income Statement'!P31*P21)</f>
        <v>0.0275744289547234</v>
      </c>
      <c r="Q24" s="245">
        <f ca="1">(FAS!Q168-'Income Statement'!Q29+('Working Capital'!Q24))/('Income Statement'!Q31*Q21)</f>
        <v>0.0235396377608607</v>
      </c>
      <c r="R24" s="246"/>
      <c r="T24" s="247" t="s">
        <v>330</v>
      </c>
    </row>
    <row r="25" ht="14.25" customHeight="1" spans="2:20">
      <c r="B25" s="243"/>
      <c r="C25" s="239"/>
      <c r="D25" s="239"/>
      <c r="E25" s="239"/>
      <c r="F25" s="239"/>
      <c r="G25" s="239"/>
      <c r="H25" s="252"/>
      <c r="I25" s="252"/>
      <c r="J25" s="252"/>
      <c r="K25" s="252"/>
      <c r="L25" s="252"/>
      <c r="M25" s="252"/>
      <c r="N25" s="252"/>
      <c r="O25" s="252"/>
      <c r="P25" s="252"/>
      <c r="Q25" s="252"/>
      <c r="R25" s="246"/>
      <c r="T25" s="253"/>
    </row>
    <row r="26" ht="13.5" customHeight="1" spans="2:20">
      <c r="B26" s="240" t="s">
        <v>331</v>
      </c>
      <c r="C26" s="241"/>
      <c r="D26" s="241"/>
      <c r="E26" s="241"/>
      <c r="F26" s="241"/>
      <c r="G26" s="241"/>
      <c r="H26" s="248"/>
      <c r="I26" s="248"/>
      <c r="J26" s="248"/>
      <c r="K26" s="248"/>
      <c r="L26" s="248"/>
      <c r="M26" s="248"/>
      <c r="N26" s="248"/>
      <c r="O26" s="248"/>
      <c r="P26" s="248"/>
      <c r="Q26" s="248"/>
      <c r="R26" s="246"/>
      <c r="T26" s="249"/>
    </row>
    <row r="27" ht="51" customHeight="1" spans="2:20">
      <c r="B27" s="243" t="s">
        <v>160</v>
      </c>
      <c r="C27" s="250">
        <f>'Balance Sheet'!D38/'Balance Sheet'!D69</f>
        <v>1.99937505579859</v>
      </c>
      <c r="D27" s="250">
        <f>'Balance Sheet'!E38/'Balance Sheet'!E69</f>
        <v>1.80883478793447</v>
      </c>
      <c r="E27" s="250">
        <f>'Balance Sheet'!F38/'Balance Sheet'!F69</f>
        <v>2.30530494406351</v>
      </c>
      <c r="F27" s="250">
        <f>'Balance Sheet'!G38/'Balance Sheet'!G69</f>
        <v>2.26602100350058</v>
      </c>
      <c r="G27" s="250">
        <f>'Balance Sheet'!H38/'Balance Sheet'!H69</f>
        <v>1.97792515576622</v>
      </c>
      <c r="H27" s="251">
        <f ca="1">'Balance Sheet'!I38/'Balance Sheet'!I69</f>
        <v>2.13298217100189</v>
      </c>
      <c r="I27" s="251">
        <f ca="1">'Balance Sheet'!J38/'Balance Sheet'!J69</f>
        <v>2.32238668183787</v>
      </c>
      <c r="J27" s="251">
        <f ca="1">'Balance Sheet'!K38/'Balance Sheet'!K69</f>
        <v>2.50866077907145</v>
      </c>
      <c r="K27" s="251">
        <f ca="1">'Balance Sheet'!L38/'Balance Sheet'!L69</f>
        <v>2.69367137634626</v>
      </c>
      <c r="L27" s="251">
        <f ca="1">'Balance Sheet'!M38/'Balance Sheet'!M69</f>
        <v>2.88115071216143</v>
      </c>
      <c r="M27" s="251">
        <f ca="1">'Balance Sheet'!N38/'Balance Sheet'!N69</f>
        <v>3.07366360386564</v>
      </c>
      <c r="N27" s="251">
        <f ca="1">'Balance Sheet'!O38/'Balance Sheet'!O69</f>
        <v>3.27298380122722</v>
      </c>
      <c r="O27" s="251">
        <f ca="1">'Balance Sheet'!P38/'Balance Sheet'!P69</f>
        <v>3.48272939628502</v>
      </c>
      <c r="P27" s="251">
        <f ca="1">'Balance Sheet'!Q38/'Balance Sheet'!Q69</f>
        <v>3.7058211303287</v>
      </c>
      <c r="Q27" s="251">
        <f ca="1">'Balance Sheet'!R38/'Balance Sheet'!R69</f>
        <v>3.94473302622695</v>
      </c>
      <c r="R27" s="246"/>
      <c r="T27" s="247" t="s">
        <v>332</v>
      </c>
    </row>
    <row r="28" ht="54.75" customHeight="1" spans="2:20">
      <c r="B28" s="243" t="s">
        <v>161</v>
      </c>
      <c r="C28" s="254">
        <f>('Balance Sheet'!D31+'Balance Sheet'!D32)/'Balance Sheet'!D69</f>
        <v>1.1954289795554</v>
      </c>
      <c r="D28" s="254">
        <f>('Balance Sheet'!E31+'Balance Sheet'!E32)/'Balance Sheet'!E69</f>
        <v>0.95944980350125</v>
      </c>
      <c r="E28" s="254">
        <f>('Balance Sheet'!F31+'Balance Sheet'!F32)/'Balance Sheet'!F69</f>
        <v>1.15943187090787</v>
      </c>
      <c r="F28" s="254">
        <f>('Balance Sheet'!G31+'Balance Sheet'!G32)/'Balance Sheet'!G69</f>
        <v>1.29785297549592</v>
      </c>
      <c r="G28" s="254">
        <f>('Balance Sheet'!H31+'Balance Sheet'!H32)/'Balance Sheet'!H69</f>
        <v>1.0977217996254</v>
      </c>
      <c r="H28" s="255">
        <f ca="1">('Balance Sheet'!I31+'Balance Sheet'!I32)/'Balance Sheet'!I69</f>
        <v>1.20746498094457</v>
      </c>
      <c r="I28" s="255">
        <f ca="1">('Balance Sheet'!J31+'Balance Sheet'!J32)/'Balance Sheet'!J69</f>
        <v>1.39725507473818</v>
      </c>
      <c r="J28" s="255">
        <f ca="1">('Balance Sheet'!K31+'Balance Sheet'!K32)/'Balance Sheet'!K69</f>
        <v>1.58385007441316</v>
      </c>
      <c r="K28" s="255">
        <f ca="1">('Balance Sheet'!L31+'Balance Sheet'!L32)/'Balance Sheet'!L69</f>
        <v>1.76912732706536</v>
      </c>
      <c r="L28" s="255">
        <f ca="1">('Balance Sheet'!M31+'Balance Sheet'!M32)/'Balance Sheet'!M69</f>
        <v>1.95682734577074</v>
      </c>
      <c r="M28" s="255">
        <f ca="1">('Balance Sheet'!N31+'Balance Sheet'!N32)/'Balance Sheet'!N69</f>
        <v>2.14952149486257</v>
      </c>
      <c r="N28" s="255">
        <f ca="1">('Balance Sheet'!O31+'Balance Sheet'!O32)/'Balance Sheet'!O69</f>
        <v>2.34898867204308</v>
      </c>
      <c r="O28" s="255">
        <f ca="1">('Balance Sheet'!P31+'Balance Sheet'!P32)/'Balance Sheet'!P69</f>
        <v>2.55885096721232</v>
      </c>
      <c r="P28" s="255">
        <f ca="1">('Balance Sheet'!Q31+'Balance Sheet'!Q32)/'Balance Sheet'!Q69</f>
        <v>2.78203215586103</v>
      </c>
      <c r="Q28" s="255">
        <f ca="1">('Balance Sheet'!R31+'Balance Sheet'!R32)/'Balance Sheet'!R69</f>
        <v>3.02100846755315</v>
      </c>
      <c r="R28" s="246"/>
      <c r="T28" s="247" t="s">
        <v>333</v>
      </c>
    </row>
    <row r="29" ht="45" customHeight="1" spans="2:20">
      <c r="B29" s="243" t="s">
        <v>334</v>
      </c>
      <c r="C29" s="250">
        <f>'Balance Sheet'!D32/'Balance Sheet'!D69</f>
        <v>0.51995357557361</v>
      </c>
      <c r="D29" s="250">
        <f>'Balance Sheet'!E32/'Balance Sheet'!E69</f>
        <v>0.310646659521258</v>
      </c>
      <c r="E29" s="250">
        <f>'Balance Sheet'!F32/'Balance Sheet'!F69</f>
        <v>0.381141413620663</v>
      </c>
      <c r="F29" s="250">
        <f>'Balance Sheet'!G32/'Balance Sheet'!G69</f>
        <v>0.57071178529755</v>
      </c>
      <c r="G29" s="250">
        <f>'Balance Sheet'!H32/'Balance Sheet'!H69</f>
        <v>0.424314819769886</v>
      </c>
      <c r="H29" s="251">
        <f ca="1">'Balance Sheet'!I32/'Balance Sheet'!I69</f>
        <v>0.522606571359706</v>
      </c>
      <c r="I29" s="251">
        <f ca="1">'Balance Sheet'!J32/'Balance Sheet'!J69</f>
        <v>0.712396665153321</v>
      </c>
      <c r="J29" s="251">
        <f ca="1">'Balance Sheet'!K32/'Balance Sheet'!K69</f>
        <v>0.898991664828302</v>
      </c>
      <c r="K29" s="251">
        <f ca="1">'Balance Sheet'!L32/'Balance Sheet'!L69</f>
        <v>1.0842689174805</v>
      </c>
      <c r="L29" s="251">
        <f ca="1">'Balance Sheet'!M32/'Balance Sheet'!M69</f>
        <v>1.27196893618588</v>
      </c>
      <c r="M29" s="251">
        <f ca="1">'Balance Sheet'!N32/'Balance Sheet'!N69</f>
        <v>1.4646630852777</v>
      </c>
      <c r="N29" s="251">
        <f ca="1">'Balance Sheet'!O32/'Balance Sheet'!O69</f>
        <v>1.66413026245822</v>
      </c>
      <c r="O29" s="251">
        <f ca="1">'Balance Sheet'!P32/'Balance Sheet'!P69</f>
        <v>1.87399255762746</v>
      </c>
      <c r="P29" s="251">
        <f ca="1">'Balance Sheet'!Q32/'Balance Sheet'!Q69</f>
        <v>2.09717374627617</v>
      </c>
      <c r="Q29" s="251">
        <f ca="1">'Balance Sheet'!R32/'Balance Sheet'!R69</f>
        <v>2.33615005796828</v>
      </c>
      <c r="R29" s="246"/>
      <c r="T29" s="247" t="s">
        <v>335</v>
      </c>
    </row>
    <row r="30" ht="14.25" customHeight="1" spans="2:20">
      <c r="B30" s="243"/>
      <c r="C30" s="239"/>
      <c r="D30" s="239"/>
      <c r="E30" s="239"/>
      <c r="F30" s="239"/>
      <c r="G30" s="239"/>
      <c r="H30" s="252"/>
      <c r="I30" s="252"/>
      <c r="J30" s="252"/>
      <c r="K30" s="252"/>
      <c r="L30" s="252"/>
      <c r="M30" s="252"/>
      <c r="N30" s="252"/>
      <c r="O30" s="252"/>
      <c r="P30" s="252"/>
      <c r="Q30" s="252"/>
      <c r="R30" s="246"/>
      <c r="T30" s="253"/>
    </row>
    <row r="31" ht="14.25" customHeight="1" spans="2:20">
      <c r="B31" s="240" t="s">
        <v>336</v>
      </c>
      <c r="C31" s="241"/>
      <c r="D31" s="241"/>
      <c r="E31" s="241"/>
      <c r="F31" s="241"/>
      <c r="G31" s="241"/>
      <c r="H31" s="248"/>
      <c r="I31" s="248"/>
      <c r="J31" s="248"/>
      <c r="K31" s="248"/>
      <c r="L31" s="248"/>
      <c r="M31" s="248"/>
      <c r="N31" s="248"/>
      <c r="O31" s="248"/>
      <c r="P31" s="248"/>
      <c r="Q31" s="248"/>
      <c r="R31" s="246"/>
      <c r="T31" s="249"/>
    </row>
    <row r="32" ht="54.75" customHeight="1" spans="2:20">
      <c r="B32" s="243" t="s">
        <v>337</v>
      </c>
      <c r="C32" s="254">
        <f>'Balance Sheet'!D40/'Balance Sheet'!D49</f>
        <v>1.55652529840499</v>
      </c>
      <c r="D32" s="254">
        <f>'Balance Sheet'!E40/'Balance Sheet'!E49</f>
        <v>1.65995118411505</v>
      </c>
      <c r="E32" s="254">
        <f>'Balance Sheet'!F40/'Balance Sheet'!F49</f>
        <v>1.55790687421576</v>
      </c>
      <c r="F32" s="254">
        <f>'Balance Sheet'!G40/'Balance Sheet'!G49</f>
        <v>1.54779996465807</v>
      </c>
      <c r="G32" s="254">
        <f>'Balance Sheet'!H40/'Balance Sheet'!H49</f>
        <v>1.67172577896395</v>
      </c>
      <c r="H32" s="255">
        <f ca="1">'Balance Sheet'!I40/'Balance Sheet'!I49</f>
        <v>1.59441978410628</v>
      </c>
      <c r="I32" s="255">
        <f ca="1">'Balance Sheet'!J40/'Balance Sheet'!J49</f>
        <v>1.55569339288239</v>
      </c>
      <c r="J32" s="255">
        <f ca="1">'Balance Sheet'!K40/'Balance Sheet'!K49</f>
        <v>1.52077092228508</v>
      </c>
      <c r="K32" s="255">
        <f ca="1">'Balance Sheet'!L40/'Balance Sheet'!L49</f>
        <v>1.48889213705062</v>
      </c>
      <c r="L32" s="255">
        <f ca="1">'Balance Sheet'!M40/'Balance Sheet'!M49</f>
        <v>1.45932232775718</v>
      </c>
      <c r="M32" s="255">
        <f ca="1">'Balance Sheet'!N40/'Balance Sheet'!N49</f>
        <v>1.43161965560157</v>
      </c>
      <c r="N32" s="255">
        <f ca="1">'Balance Sheet'!O40/'Balance Sheet'!O49</f>
        <v>1.40550678850148</v>
      </c>
      <c r="O32" s="255">
        <f ca="1">'Balance Sheet'!P40/'Balance Sheet'!P49</f>
        <v>1.38066423358855</v>
      </c>
      <c r="P32" s="255">
        <f ca="1">'Balance Sheet'!Q40/'Balance Sheet'!Q49</f>
        <v>1.35690646068811</v>
      </c>
      <c r="Q32" s="255">
        <f ca="1">'Balance Sheet'!R40/'Balance Sheet'!R49</f>
        <v>1.33412543556604</v>
      </c>
      <c r="R32" s="246"/>
      <c r="T32" s="247" t="s">
        <v>338</v>
      </c>
    </row>
    <row r="33" ht="46.5" customHeight="1" spans="2:20">
      <c r="B33" s="243" t="s">
        <v>339</v>
      </c>
      <c r="C33" s="250">
        <f>('Balance Sheet'!D53+'Balance Sheet'!D62)/'Balance Sheet'!D49</f>
        <v>0.0722773845991338</v>
      </c>
      <c r="D33" s="250">
        <f>('Balance Sheet'!E53+'Balance Sheet'!E62)/'Balance Sheet'!E49</f>
        <v>0.109492710600963</v>
      </c>
      <c r="E33" s="250">
        <f>('Balance Sheet'!F53+'Balance Sheet'!F62)/'Balance Sheet'!F49</f>
        <v>0.0944936186568092</v>
      </c>
      <c r="F33" s="250">
        <f>('Balance Sheet'!G53+'Balance Sheet'!G62)/'Balance Sheet'!G49</f>
        <v>0.0855170836668295</v>
      </c>
      <c r="G33" s="250">
        <f>('Balance Sheet'!H53+'Balance Sheet'!H62)/'Balance Sheet'!H49</f>
        <v>0.0983525729659046</v>
      </c>
      <c r="H33" s="251">
        <f ca="1">('Balance Sheet'!I53+'Balance Sheet'!I62)/'Balance Sheet'!I49</f>
        <v>0.0912320326203787</v>
      </c>
      <c r="I33" s="251">
        <f ca="1">('Balance Sheet'!J53+'Balance Sheet'!J62)/'Balance Sheet'!J49</f>
        <v>0.085288274552636</v>
      </c>
      <c r="J33" s="251">
        <f ca="1">('Balance Sheet'!K53+'Balance Sheet'!K62)/'Balance Sheet'!K49</f>
        <v>0.0799283453209604</v>
      </c>
      <c r="K33" s="251">
        <f ca="1">('Balance Sheet'!L53+'Balance Sheet'!L62)/'Balance Sheet'!L49</f>
        <v>0.0750355633978601</v>
      </c>
      <c r="L33" s="251">
        <f ca="1">('Balance Sheet'!M53+'Balance Sheet'!M62)/'Balance Sheet'!M49</f>
        <v>0.0704971649828511</v>
      </c>
      <c r="M33" s="251">
        <f ca="1">('Balance Sheet'!N53+'Balance Sheet'!N62)/'Balance Sheet'!N49</f>
        <v>0.0662453362965425</v>
      </c>
      <c r="N33" s="251">
        <f ca="1">('Balance Sheet'!O53+'Balance Sheet'!O62)/'Balance Sheet'!O49</f>
        <v>0.062237512185055</v>
      </c>
      <c r="O33" s="251">
        <f ca="1">('Balance Sheet'!P53+'Balance Sheet'!P62)/'Balance Sheet'!P49</f>
        <v>0.0584246566227227</v>
      </c>
      <c r="P33" s="251">
        <f ca="1">('Balance Sheet'!Q53+'Balance Sheet'!Q62)/'Balance Sheet'!Q49</f>
        <v>0.0547782942872238</v>
      </c>
      <c r="Q33" s="251">
        <f ca="1">('Balance Sheet'!R53+'Balance Sheet'!R62)/'Balance Sheet'!R49</f>
        <v>0.051281843996311</v>
      </c>
      <c r="R33" s="246"/>
      <c r="T33" s="247" t="s">
        <v>340</v>
      </c>
    </row>
    <row r="34" ht="14.25" customHeight="1" spans="2:20">
      <c r="B34" s="243"/>
      <c r="C34" s="239"/>
      <c r="D34" s="239"/>
      <c r="E34" s="239"/>
      <c r="F34" s="239"/>
      <c r="G34" s="239"/>
      <c r="H34" s="252"/>
      <c r="I34" s="252"/>
      <c r="J34" s="252"/>
      <c r="K34" s="252"/>
      <c r="L34" s="252"/>
      <c r="M34" s="252"/>
      <c r="N34" s="252"/>
      <c r="O34" s="252"/>
      <c r="P34" s="252"/>
      <c r="Q34" s="252"/>
      <c r="R34" s="246"/>
      <c r="T34" s="249"/>
    </row>
    <row r="35" ht="14.25" customHeight="1" spans="2:20">
      <c r="B35" s="240" t="s">
        <v>341</v>
      </c>
      <c r="C35" s="241"/>
      <c r="D35" s="241"/>
      <c r="E35" s="241"/>
      <c r="F35" s="241"/>
      <c r="G35" s="241"/>
      <c r="H35" s="248"/>
      <c r="I35" s="248"/>
      <c r="J35" s="248"/>
      <c r="K35" s="248"/>
      <c r="L35" s="248"/>
      <c r="M35" s="248"/>
      <c r="N35" s="248"/>
      <c r="O35" s="248"/>
      <c r="P35" s="248"/>
      <c r="Q35" s="248"/>
      <c r="R35" s="246"/>
      <c r="T35" s="253"/>
    </row>
    <row r="36" ht="54.75" customHeight="1" spans="2:20">
      <c r="B36" s="243" t="s">
        <v>342</v>
      </c>
      <c r="C36" s="239"/>
      <c r="D36" s="254">
        <f>'Income Statement'!C11/AVERAGE('Balance Sheet'!D31:E31)</f>
        <v>5.0555255392544</v>
      </c>
      <c r="E36" s="254">
        <f>'Income Statement'!D11/AVERAGE('Balance Sheet'!E31:F31)</f>
        <v>5.27777478109211</v>
      </c>
      <c r="F36" s="254">
        <f>'Income Statement'!E11/AVERAGE('Balance Sheet'!F31:G31)</f>
        <v>5.00953529689818</v>
      </c>
      <c r="G36" s="254">
        <f>'Income Statement'!F11/AVERAGE('Balance Sheet'!G31:H31)</f>
        <v>4.90992890709724</v>
      </c>
      <c r="H36" s="256">
        <f>'Income Statement'!G11/AVERAGE('Balance Sheet'!H31:I31)</f>
        <v>5.00473625451188</v>
      </c>
      <c r="I36" s="256">
        <f>'Income Statement'!H11/AVERAGE('Balance Sheet'!I31:J31)</f>
        <v>4.86327377214561</v>
      </c>
      <c r="J36" s="256">
        <f>'Income Statement'!I11/AVERAGE('Balance Sheet'!J31:K31)</f>
        <v>4.88461281413746</v>
      </c>
      <c r="K36" s="256">
        <f>'Income Statement'!J11/AVERAGE('Balance Sheet'!K31:L31)</f>
        <v>4.90587862099698</v>
      </c>
      <c r="L36" s="256">
        <f>'Income Statement'!K11/AVERAGE('Balance Sheet'!L31:M31)</f>
        <v>4.92709236973648</v>
      </c>
      <c r="M36" s="256">
        <f>'Income Statement'!L11/AVERAGE('Balance Sheet'!M31:N31)</f>
        <v>4.94828156320218</v>
      </c>
      <c r="N36" s="256">
        <f>'Income Statement'!M11/AVERAGE('Balance Sheet'!N31:O31)</f>
        <v>4.9694800336924</v>
      </c>
      <c r="O36" s="256">
        <f>'Income Statement'!N11/AVERAGE('Balance Sheet'!O31:P31)</f>
        <v>4.99072770914264</v>
      </c>
      <c r="P36" s="256">
        <f>'Income Statement'!O11/AVERAGE('Balance Sheet'!P31:Q31)</f>
        <v>5.01207012741013</v>
      </c>
      <c r="Q36" s="256">
        <f>'Income Statement'!P11/AVERAGE('Balance Sheet'!Q31:R31)</f>
        <v>5.03355770071761</v>
      </c>
      <c r="R36" s="257"/>
      <c r="T36" s="247" t="s">
        <v>343</v>
      </c>
    </row>
    <row r="37" ht="59" customHeight="1" spans="2:20">
      <c r="B37" s="243" t="s">
        <v>344</v>
      </c>
      <c r="C37" s="250"/>
      <c r="D37" s="250">
        <f>'Income Statement'!C11/AVERAGE('Balance Sheet'!D63:E63)</f>
        <v>30.4140517564696</v>
      </c>
      <c r="E37" s="250">
        <f>'Income Statement'!D11/AVERAGE('Balance Sheet'!E63:F63)</f>
        <v>37.5315177087329</v>
      </c>
      <c r="F37" s="250">
        <f>'Income Statement'!E11/AVERAGE('Balance Sheet'!F63:G63)</f>
        <v>37.8497536945813</v>
      </c>
      <c r="G37" s="250">
        <f>'Income Statement'!F11/AVERAGE('Balance Sheet'!G63:H63)</f>
        <v>36.5940727436013</v>
      </c>
      <c r="H37" s="258">
        <f>'Income Statement'!G11/AVERAGE('Balance Sheet'!H63:I63)</f>
        <v>35.6075359900961</v>
      </c>
      <c r="I37" s="258">
        <f>'Income Statement'!H11/AVERAGE('Balance Sheet'!I63:J63)</f>
        <v>33.2391334182927</v>
      </c>
      <c r="J37" s="258">
        <f>'Income Statement'!I11/AVERAGE('Balance Sheet'!J63:K63)</f>
        <v>33.3849798783148</v>
      </c>
      <c r="K37" s="258">
        <f>'Income Statement'!J11/AVERAGE('Balance Sheet'!K63:L63)</f>
        <v>33.5303257964286</v>
      </c>
      <c r="L37" s="258">
        <f>'Income Statement'!K11/AVERAGE('Balance Sheet'!L63:M63)</f>
        <v>33.675315911666</v>
      </c>
      <c r="M37" s="258">
        <f>'Income Statement'!L11/AVERAGE('Balance Sheet'!M63:N63)</f>
        <v>33.820138198387</v>
      </c>
      <c r="N37" s="258">
        <f>'Income Statement'!M11/AVERAGE('Balance Sheet'!N63:O63)</f>
        <v>33.9650238910091</v>
      </c>
      <c r="O37" s="258">
        <f>'Income Statement'!N11/AVERAGE('Balance Sheet'!O63:P63)</f>
        <v>34.1102458859468</v>
      </c>
      <c r="P37" s="258">
        <f>'Income Statement'!O11/AVERAGE('Balance Sheet'!P63:Q63)</f>
        <v>34.2561154218806</v>
      </c>
      <c r="Q37" s="258">
        <f>'Income Statement'!P11/AVERAGE('Balance Sheet'!Q63:R63)</f>
        <v>34.4029770524336</v>
      </c>
      <c r="R37" s="246"/>
      <c r="T37" s="247" t="s">
        <v>345</v>
      </c>
    </row>
    <row r="38" ht="51" customHeight="1" spans="2:20">
      <c r="B38" s="243" t="s">
        <v>346</v>
      </c>
      <c r="C38" s="239"/>
      <c r="D38" s="254">
        <f>'Income Statement'!D14/AVERAGE(FAS!C160:D160)</f>
        <v>7.05916021355394</v>
      </c>
      <c r="E38" s="254">
        <f>'Income Statement'!E14/AVERAGE(FAS!D160:E160)</f>
        <v>7.26640817098544</v>
      </c>
      <c r="F38" s="254">
        <f>'Income Statement'!F14/AVERAGE(FAS!E160:F160)</f>
        <v>7.91713217078739</v>
      </c>
      <c r="G38" s="254">
        <f>'Income Statement'!G14/AVERAGE(FAS!F160:G160)</f>
        <v>8.40547661616637</v>
      </c>
      <c r="H38" s="255">
        <f>'Income Statement'!H14/AVERAGE(FAS!G160:H160)</f>
        <v>8.3502934813698</v>
      </c>
      <c r="I38" s="255">
        <f>'Income Statement'!I14/AVERAGE(FAS!H160:I160)</f>
        <v>8.81881038511148</v>
      </c>
      <c r="J38" s="255">
        <f>'Income Statement'!J14/AVERAGE(FAS!I160:J160)</f>
        <v>9.24761244528216</v>
      </c>
      <c r="K38" s="255">
        <f>'Income Statement'!K14/AVERAGE(FAS!J160:K160)</f>
        <v>9.62158711577179</v>
      </c>
      <c r="L38" s="255">
        <f>'Income Statement'!L14/AVERAGE(FAS!K160:L160)</f>
        <v>9.93266713097535</v>
      </c>
      <c r="M38" s="255">
        <f>'Income Statement'!M14/AVERAGE(FAS!L160:M160)</f>
        <v>10.1802365210631</v>
      </c>
      <c r="N38" s="255">
        <f>'Income Statement'!N14/AVERAGE(FAS!M160:N160)</f>
        <v>10.3518480933383</v>
      </c>
      <c r="O38" s="255">
        <f>'Income Statement'!O14/AVERAGE(FAS!N160:O160)</f>
        <v>10.4432435013422</v>
      </c>
      <c r="P38" s="255">
        <f>'Income Statement'!P14/AVERAGE(FAS!O160:P160)</f>
        <v>10.4579822103684</v>
      </c>
      <c r="Q38" s="255">
        <f>'Income Statement'!Q14/AVERAGE(FAS!P160:Q160)</f>
        <v>10.3883498687518</v>
      </c>
      <c r="R38" s="246"/>
      <c r="T38" s="247" t="s">
        <v>347</v>
      </c>
    </row>
    <row r="39" ht="62" customHeight="1" spans="2:20">
      <c r="B39" s="243" t="s">
        <v>348</v>
      </c>
      <c r="C39" s="244"/>
      <c r="D39" s="244">
        <f>'Income Statement'!C31*(1-'Cost Buildup'!D37)/AVERAGE(SUM('Balance Sheet'!E49,'Balance Sheet'!E53,'Balance Sheet'!E62)-'Balance Sheet'!E32,SUM('Balance Sheet'!D49,'Balance Sheet'!D53,'Balance Sheet'!D62)-'Balance Sheet'!D32)</f>
        <v>0.298814820636419</v>
      </c>
      <c r="E39" s="244">
        <f>'Income Statement'!D31*(1-'Cost Buildup'!E37)/AVERAGE(SUM('Balance Sheet'!F49,'Balance Sheet'!F53,'Balance Sheet'!F62)-'Balance Sheet'!F32,SUM('Balance Sheet'!E49,'Balance Sheet'!E53,'Balance Sheet'!E62)-'Balance Sheet'!E32)</f>
        <v>0.292821830444479</v>
      </c>
      <c r="F39" s="244">
        <f>'Income Statement'!E31*(1-'Cost Buildup'!F37)/AVERAGE(SUM('Balance Sheet'!G49,'Balance Sheet'!G53,'Balance Sheet'!G62)-'Balance Sheet'!G32,SUM('Balance Sheet'!F49,'Balance Sheet'!F53,'Balance Sheet'!F62)-'Balance Sheet'!F32)</f>
        <v>0.278764261167015</v>
      </c>
      <c r="G39" s="244">
        <f>'Income Statement'!F31*(1-'Cost Buildup'!G37)/AVERAGE(SUM('Balance Sheet'!H49,'Balance Sheet'!H53,'Balance Sheet'!H62)-'Balance Sheet'!H32,SUM('Balance Sheet'!G49,'Balance Sheet'!G53,'Balance Sheet'!G62)-'Balance Sheet'!G32)</f>
        <v>0.316617415139538</v>
      </c>
      <c r="H39" s="259">
        <f ca="1">'Income Statement'!G31*(1-'Cost Buildup'!H37)/AVERAGE(SUM('Balance Sheet'!I49,'Balance Sheet'!I53,'Balance Sheet'!I62)-'Balance Sheet'!I32,SUM('Balance Sheet'!H49,'Balance Sheet'!H53,'Balance Sheet'!H62)-'Balance Sheet'!H32)</f>
        <v>0.316403196724697</v>
      </c>
      <c r="I39" s="259">
        <f ca="1">'Income Statement'!H31*(1-'Cost Buildup'!I37)/AVERAGE(SUM('Balance Sheet'!J49,'Balance Sheet'!J53,'Balance Sheet'!J62)-'Balance Sheet'!J32,SUM('Balance Sheet'!I49,'Balance Sheet'!I53,'Balance Sheet'!I62)-'Balance Sheet'!I32)</f>
        <v>0.541177556002634</v>
      </c>
      <c r="J39" s="259">
        <f ca="1">'Income Statement'!I31*(1-'Cost Buildup'!J37)/AVERAGE(SUM('Balance Sheet'!K49,'Balance Sheet'!K53,'Balance Sheet'!K62)-'Balance Sheet'!K32,SUM('Balance Sheet'!J49,'Balance Sheet'!J53,'Balance Sheet'!J62)-'Balance Sheet'!J32)</f>
        <v>0.556060056019129</v>
      </c>
      <c r="K39" s="259">
        <f ca="1">'Income Statement'!J31*(1-'Cost Buildup'!K37)/AVERAGE(SUM('Balance Sheet'!L49,'Balance Sheet'!L53,'Balance Sheet'!L62)-'Balance Sheet'!L32,SUM('Balance Sheet'!K49,'Balance Sheet'!K53,'Balance Sheet'!K62)-'Balance Sheet'!K32)</f>
        <v>0.568811368199461</v>
      </c>
      <c r="L39" s="259">
        <f ca="1">'Income Statement'!K31*(1-'Cost Buildup'!L37)/AVERAGE(SUM('Balance Sheet'!M49,'Balance Sheet'!M53,'Balance Sheet'!M62)-'Balance Sheet'!M32,SUM('Balance Sheet'!L49,'Balance Sheet'!L53,'Balance Sheet'!L62)-'Balance Sheet'!L32)</f>
        <v>0.578751136415751</v>
      </c>
      <c r="M39" s="259">
        <f ca="1">'Income Statement'!L31*(1-'Cost Buildup'!M37)/AVERAGE(SUM('Balance Sheet'!N49,'Balance Sheet'!N53,'Balance Sheet'!N62)-'Balance Sheet'!N32,SUM('Balance Sheet'!M49,'Balance Sheet'!M53,'Balance Sheet'!M62)-'Balance Sheet'!M32)</f>
        <v>0.587638671339283</v>
      </c>
      <c r="N39" s="259">
        <f ca="1">'Income Statement'!M31*(1-'Cost Buildup'!N37)/AVERAGE(SUM('Balance Sheet'!O49,'Balance Sheet'!O53,'Balance Sheet'!O62)-'Balance Sheet'!O32,SUM('Balance Sheet'!N49,'Balance Sheet'!N53,'Balance Sheet'!N62)-'Balance Sheet'!N32)</f>
        <v>0.594644968424632</v>
      </c>
      <c r="O39" s="259">
        <f ca="1">'Income Statement'!N31*(1-'Cost Buildup'!O37)/AVERAGE(SUM('Balance Sheet'!P49,'Balance Sheet'!P53,'Balance Sheet'!P62)-'Balance Sheet'!P32,SUM('Balance Sheet'!O49,'Balance Sheet'!O53,'Balance Sheet'!O62)-'Balance Sheet'!O32)</f>
        <v>0.599138806986987</v>
      </c>
      <c r="P39" s="259">
        <f ca="1">'Income Statement'!O31*(1-'Cost Buildup'!P37)/AVERAGE(SUM('Balance Sheet'!Q49,'Balance Sheet'!Q53,'Balance Sheet'!Q62)-'Balance Sheet'!Q32,SUM('Balance Sheet'!P49,'Balance Sheet'!P53,'Balance Sheet'!P62)-'Balance Sheet'!P32)</f>
        <v>0.602670465686545</v>
      </c>
      <c r="Q39" s="259">
        <f ca="1">'Income Statement'!P31*(1-'Cost Buildup'!Q37)/AVERAGE(SUM('Balance Sheet'!R49,'Balance Sheet'!R53,'Balance Sheet'!R62)-'Balance Sheet'!R32,SUM('Balance Sheet'!Q49,'Balance Sheet'!Q53,'Balance Sheet'!Q62)-'Balance Sheet'!Q32)</f>
        <v>0.604462181413086</v>
      </c>
      <c r="R39" s="246"/>
      <c r="T39" s="247" t="s">
        <v>349</v>
      </c>
    </row>
    <row r="41" ht="14.25" customHeight="1" spans="2:20">
      <c r="E41" s="260"/>
      <c r="F41" s="260"/>
      <c r="G41" s="260"/>
      <c r="H41" s="260"/>
      <c r="I41" s="260"/>
      <c r="J41" s="260"/>
      <c r="K41" s="260"/>
      <c r="L41" s="260"/>
      <c r="M41" s="260"/>
      <c r="N41" s="260"/>
      <c r="O41" s="260"/>
      <c r="P41" s="260"/>
      <c r="Q41" s="260"/>
      <c r="R41" s="260"/>
    </row>
  </sheetData>
  <mergeCells count="6">
    <mergeCell ref="P6:Q6"/>
    <mergeCell ref="B7:R7"/>
    <mergeCell ref="B8:B9"/>
    <mergeCell ref="R8:R9"/>
    <mergeCell ref="T7:T9"/>
    <mergeCell ref="B3:D5"/>
  </mergeCells>
  <pageMargins left="0.7" right="0.7" top="0.75" bottom="0.75" header="0.511811023622047" footer="0.511811023622047"/>
  <pageSetup paperSize="9" orientation="portrait" horizontalDpi="300" verticalDpi="300"/>
  <headerFooter/>
  <extLst>
    <ext xmlns:x14="http://schemas.microsoft.com/office/spreadsheetml/2009/9/main" uri="{05C60535-1F16-4fd2-B633-F4F36F0B64E0}">
      <x14:sparklineGroups xmlns:xm="http://schemas.microsoft.com/office/excel/2006/main">
        <x14:sparklineGroup type="line" displayEmptyCellsAs="gap">
          <x14:colorSeries rgb="FF0070C0"/>
          <x14:colorNegative rgb="FF000000"/>
          <x14:colorAxis rgb="FF000000"/>
          <x14:colorMarkers rgb="FF000000"/>
          <x14:colorFirst rgb="FF000000"/>
          <x14:colorLast rgb="FF000000"/>
          <x14:colorHigh rgb="FF000000"/>
          <x14:colorLow rgb="FF000000"/>
          <x14:sparklines>
            <x14:sparkline>
              <xm:f>'Ratio Analysis'!C12:Q12</xm:f>
              <xm:sqref>R12</xm:sqref>
            </x14:sparkline>
            <x14:sparkline>
              <xm:f>'Ratio Analysis'!C13:Q13</xm:f>
              <xm:sqref>R13</xm:sqref>
            </x14:sparkline>
            <x14:sparkline>
              <xm:f>'Ratio Analysis'!C14:Q14</xm:f>
              <xm:sqref>R14</xm:sqref>
            </x14:sparkline>
            <x14:sparkline>
              <xm:f>'Ratio Analysis'!C15:Q15</xm:f>
              <xm:sqref>R15</xm:sqref>
            </x14:sparkline>
            <x14:sparkline>
              <xm:f>'Ratio Analysis'!C16:Q16</xm:f>
              <xm:sqref>R16</xm:sqref>
            </x14:sparkline>
            <x14:sparkline>
              <xm:f>'Ratio Analysis'!C17:Q17</xm:f>
              <xm:sqref>R17</xm:sqref>
            </x14:sparkline>
            <x14:sparkline>
              <xm:f>'Ratio Analysis'!C18:Q18</xm:f>
              <xm:sqref>R18</xm:sqref>
            </x14:sparkline>
            <x14:sparkline>
              <xm:f>'Ratio Analysis'!C19:Q19</xm:f>
              <xm:sqref>R19</xm:sqref>
            </x14:sparkline>
            <x14:sparkline>
              <xm:f>'Ratio Analysis'!C20:Q20</xm:f>
              <xm:sqref>R20</xm:sqref>
            </x14:sparkline>
            <x14:sparkline>
              <xm:f>'Ratio Analysis'!C21:Q21</xm:f>
              <xm:sqref>R21</xm:sqref>
            </x14:sparkline>
            <x14:sparkline>
              <xm:f>'Ratio Analysis'!C22:Q22</xm:f>
              <xm:sqref>R22</xm:sqref>
            </x14:sparkline>
            <x14:sparkline>
              <xm:f>'Ratio Analysis'!C23:Q23</xm:f>
              <xm:sqref>R23</xm:sqref>
            </x14:sparkline>
            <x14:sparkline>
              <xm:f>'Ratio Analysis'!C24:Q24</xm:f>
              <xm:sqref>R24</xm:sqref>
            </x14:sparkline>
            <x14:sparkline>
              <xm:f>'Ratio Analysis'!C25:Q25</xm:f>
              <xm:sqref>R25</xm:sqref>
            </x14:sparkline>
            <x14:sparkline>
              <xm:f>'Ratio Analysis'!C26:Q26</xm:f>
              <xm:sqref>R26</xm:sqref>
            </x14:sparkline>
            <x14:sparkline>
              <xm:f>'Ratio Analysis'!C27:Q27</xm:f>
              <xm:sqref>R27</xm:sqref>
            </x14:sparkline>
            <x14:sparkline>
              <xm:f>'Ratio Analysis'!C28:Q28</xm:f>
              <xm:sqref>R28</xm:sqref>
            </x14:sparkline>
            <x14:sparkline>
              <xm:f>'Ratio Analysis'!C29:Q29</xm:f>
              <xm:sqref>R29</xm:sqref>
            </x14:sparkline>
            <x14:sparkline>
              <xm:f>'Ratio Analysis'!C30:Q30</xm:f>
              <xm:sqref>R30</xm:sqref>
            </x14:sparkline>
            <x14:sparkline>
              <xm:f>'Ratio Analysis'!C31:Q31</xm:f>
              <xm:sqref>R31</xm:sqref>
            </x14:sparkline>
            <x14:sparkline>
              <xm:f>'Ratio Analysis'!C32:Q32</xm:f>
              <xm:sqref>R32</xm:sqref>
            </x14:sparkline>
            <x14:sparkline>
              <xm:f>'Ratio Analysis'!C33:Q33</xm:f>
              <xm:sqref>R33</xm:sqref>
            </x14:sparkline>
            <x14:sparkline>
              <xm:f>'Ratio Analysis'!C34:Q34</xm:f>
              <xm:sqref>R34</xm:sqref>
            </x14:sparkline>
            <x14:sparkline>
              <xm:f>'Ratio Analysis'!C35:Q35</xm:f>
              <xm:sqref>R35</xm:sqref>
            </x14:sparkline>
            <x14:sparkline>
              <xm:f>'Ratio Analysis'!C36:Q36</xm:f>
              <xm:sqref>R36</xm:sqref>
            </x14:sparkline>
            <x14:sparkline>
              <xm:f>'Ratio Analysis'!C37:Q37</xm:f>
              <xm:sqref>R37</xm:sqref>
            </x14:sparkline>
            <x14:sparkline>
              <xm:f>'Ratio Analysis'!C38:Q38</xm:f>
              <xm:sqref>R38</xm:sqref>
            </x14:sparkline>
            <x14:sparkline>
              <xm:f>'Ratio Analysis'!C39:Q39</xm:f>
              <xm:sqref>R39</xm:sqref>
            </x14:sparkline>
          </x14:sparklines>
        </x14:sparklineGroup>
      </x14:sparklineGroup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2:Q81"/>
  <sheetViews>
    <sheetView showGridLines="0" zoomScale="84" zoomScaleNormal="84" workbookViewId="0">
      <selection activeCell="B29" sqref="B29"/>
    </sheetView>
  </sheetViews>
  <sheetFormatPr defaultColWidth="8.83333333333333" defaultRowHeight="13.8"/>
  <cols>
    <col min="1" max="1" width="5.16666666666667" style="3" customWidth="1"/>
    <col min="2" max="2" width="54.0925925925926" style="3" customWidth="1"/>
    <col min="3" max="4" width="12.8333333333333" style="3" customWidth="1"/>
    <col min="5" max="8" width="14.1666666666667" style="3" customWidth="1"/>
    <col min="9" max="9" width="12.8333333333333" style="3" customWidth="1"/>
    <col min="10" max="10" width="13.3425925925926" style="3" customWidth="1"/>
    <col min="11" max="13" width="13.5" style="3" customWidth="1"/>
    <col min="14" max="15" width="14.1666666666667" style="3" customWidth="1"/>
    <col min="16" max="16" width="12.8333333333333" style="3" customWidth="1"/>
    <col min="17" max="17" width="14.1666666666667" style="3" customWidth="1"/>
    <col min="18" max="16384" width="8.83333333333333" style="3"/>
  </cols>
  <sheetData>
    <row r="2" ht="13.5" customHeight="1" spans="2:17">
      <c r="B2" s="209" t="str">
        <f>'Ratio Analysis'!B3</f>
        <v>Infosys Limited</v>
      </c>
      <c r="C2" s="15"/>
      <c r="D2" s="15"/>
      <c r="E2" s="15"/>
      <c r="F2" s="15"/>
      <c r="G2" s="15"/>
    </row>
    <row r="3" ht="13.5" customHeight="1" spans="2:17">
      <c r="B3" s="209"/>
    </row>
    <row r="4" ht="13.5" customHeight="1" spans="2:17">
      <c r="B4" s="209"/>
    </row>
    <row r="6" ht="13.5" customHeight="1" spans="2:17">
      <c r="B6" s="210"/>
      <c r="F6" s="6"/>
      <c r="G6" s="6"/>
      <c r="P6" s="5" t="s">
        <v>83</v>
      </c>
      <c r="Q6" s="5"/>
    </row>
    <row r="7" ht="13.5" customHeight="1" spans="2:17">
      <c r="B7" s="211" t="s">
        <v>350</v>
      </c>
      <c r="C7" s="211"/>
      <c r="D7" s="211"/>
      <c r="E7" s="211"/>
      <c r="F7" s="211"/>
      <c r="G7" s="211"/>
      <c r="H7" s="211"/>
      <c r="I7" s="211"/>
      <c r="J7" s="211"/>
      <c r="K7" s="211"/>
      <c r="L7" s="211"/>
      <c r="M7" s="211"/>
      <c r="N7" s="211"/>
      <c r="O7" s="211"/>
      <c r="P7" s="211"/>
      <c r="Q7" s="211"/>
    </row>
    <row r="8" ht="14.25" customHeight="1" spans="2:17">
      <c r="B8" s="212" t="s">
        <v>39</v>
      </c>
      <c r="C8" s="9">
        <f>'Balance Sheet'!D8</f>
        <v>2022</v>
      </c>
      <c r="D8" s="9">
        <f>'Balance Sheet'!E8</f>
        <v>2023</v>
      </c>
      <c r="E8" s="9">
        <f>'Balance Sheet'!F8</f>
        <v>2024</v>
      </c>
      <c r="F8" s="9">
        <f>'Balance Sheet'!G8</f>
        <v>2025</v>
      </c>
      <c r="G8" s="9">
        <f>'Balance Sheet'!H8</f>
        <v>2026</v>
      </c>
      <c r="H8" s="10">
        <f>'Balance Sheet'!I8</f>
        <v>2027</v>
      </c>
      <c r="I8" s="10">
        <f>'Balance Sheet'!J8</f>
        <v>2028</v>
      </c>
      <c r="J8" s="10">
        <f>'Balance Sheet'!K8</f>
        <v>2029</v>
      </c>
      <c r="K8" s="10">
        <f>'Balance Sheet'!L8</f>
        <v>2030</v>
      </c>
      <c r="L8" s="10">
        <f>'Balance Sheet'!M8</f>
        <v>2031</v>
      </c>
      <c r="M8" s="10">
        <f>'Balance Sheet'!N8</f>
        <v>2032</v>
      </c>
      <c r="N8" s="10">
        <f>'Balance Sheet'!O8</f>
        <v>2033</v>
      </c>
      <c r="O8" s="10">
        <f>'Balance Sheet'!P8</f>
        <v>2034</v>
      </c>
      <c r="P8" s="10">
        <f>'Balance Sheet'!Q8</f>
        <v>2035</v>
      </c>
      <c r="Q8" s="10">
        <f>'Balance Sheet'!R8</f>
        <v>2036</v>
      </c>
    </row>
    <row r="9" ht="13.5" customHeight="1" spans="2:17">
      <c r="B9" s="212"/>
      <c r="C9" s="11" t="s">
        <v>84</v>
      </c>
      <c r="D9" s="11" t="s">
        <v>84</v>
      </c>
      <c r="E9" s="11" t="s">
        <v>84</v>
      </c>
      <c r="F9" s="11" t="s">
        <v>84</v>
      </c>
      <c r="G9" s="11" t="s">
        <v>84</v>
      </c>
      <c r="H9" s="12" t="s">
        <v>234</v>
      </c>
      <c r="I9" s="12" t="s">
        <v>235</v>
      </c>
      <c r="J9" s="12" t="s">
        <v>235</v>
      </c>
      <c r="K9" s="12" t="s">
        <v>235</v>
      </c>
      <c r="L9" s="12" t="s">
        <v>235</v>
      </c>
      <c r="M9" s="12" t="s">
        <v>235</v>
      </c>
      <c r="N9" s="12" t="s">
        <v>235</v>
      </c>
      <c r="O9" s="12" t="s">
        <v>235</v>
      </c>
      <c r="P9" s="12" t="s">
        <v>235</v>
      </c>
      <c r="Q9" s="12" t="s">
        <v>235</v>
      </c>
    </row>
    <row r="10" ht="13.5" customHeight="1" spans="2:17">
      <c r="B10" s="213"/>
      <c r="H10" s="13"/>
      <c r="I10" s="13"/>
      <c r="J10" s="13"/>
      <c r="K10" s="13"/>
      <c r="L10" s="13"/>
      <c r="M10" s="13"/>
      <c r="N10" s="13"/>
      <c r="O10" s="13"/>
      <c r="P10" s="13"/>
      <c r="Q10" s="13"/>
    </row>
    <row r="11" s="208" customFormat="1" ht="13.5" customHeight="1" spans="2:17">
      <c r="B11" s="214" t="s">
        <v>351</v>
      </c>
      <c r="H11" s="215"/>
      <c r="I11" s="215"/>
      <c r="J11" s="215"/>
      <c r="K11" s="215"/>
      <c r="L11" s="215"/>
      <c r="M11" s="215"/>
      <c r="N11" s="215"/>
      <c r="O11" s="215"/>
      <c r="P11" s="215"/>
      <c r="Q11" s="215"/>
    </row>
    <row r="12" ht="13.5" customHeight="1" spans="2:17">
      <c r="B12" s="213"/>
      <c r="H12" s="13"/>
      <c r="I12" s="13"/>
      <c r="J12" s="13"/>
      <c r="K12" s="13"/>
      <c r="L12" s="13"/>
      <c r="M12" s="13"/>
      <c r="N12" s="13"/>
      <c r="O12" s="13"/>
      <c r="P12" s="13"/>
      <c r="Q12" s="13"/>
    </row>
    <row r="13" ht="13.5" customHeight="1" spans="2:17">
      <c r="B13" s="213" t="s">
        <v>352</v>
      </c>
      <c r="C13" s="15"/>
      <c r="D13" s="15">
        <f>'Income Statement'!D40</f>
        <v>33322</v>
      </c>
      <c r="E13" s="15">
        <f>'Income Statement'!E40</f>
        <v>35988</v>
      </c>
      <c r="F13" s="15">
        <f>'Income Statement'!F40</f>
        <v>37608</v>
      </c>
      <c r="G13" s="15">
        <f>'Income Statement'!G40</f>
        <v>39995</v>
      </c>
      <c r="H13" s="17">
        <f ca="1">'Income Statement'!H40</f>
        <v>67029.8954304369</v>
      </c>
      <c r="I13" s="17">
        <f ca="1">'Income Statement'!I40</f>
        <v>73710.873291446</v>
      </c>
      <c r="J13" s="17">
        <f ca="1">'Income Statement'!J40</f>
        <v>80325.5281149903</v>
      </c>
      <c r="K13" s="17">
        <f ca="1">'Income Statement'!K40</f>
        <v>86632.3292419502</v>
      </c>
      <c r="L13" s="17">
        <f ca="1">'Income Statement'!L40</f>
        <v>92754.7536683017</v>
      </c>
      <c r="M13" s="17">
        <f ca="1">'Income Statement'!M40</f>
        <v>98444.5680594702</v>
      </c>
      <c r="N13" s="17">
        <f ca="1">'Income Statement'!N40</f>
        <v>103450.521770108</v>
      </c>
      <c r="O13" s="17">
        <f ca="1">'Income Statement'!O40</f>
        <v>107911.845461512</v>
      </c>
      <c r="P13" s="17">
        <f ca="1">'Income Statement'!P40</f>
        <v>111592.339175994</v>
      </c>
      <c r="Q13" s="17">
        <f ca="1">'Income Statement'!Q40</f>
        <v>114263.737749434</v>
      </c>
    </row>
    <row r="14" ht="13.5" customHeight="1" spans="2:17">
      <c r="B14" s="216" t="s">
        <v>353</v>
      </c>
      <c r="C14" s="15"/>
      <c r="D14" s="15"/>
      <c r="E14" s="15"/>
      <c r="F14" s="15"/>
      <c r="G14" s="15"/>
      <c r="H14" s="17"/>
      <c r="I14" s="17"/>
      <c r="J14" s="17"/>
      <c r="K14" s="17"/>
      <c r="L14" s="17"/>
      <c r="M14" s="17"/>
      <c r="N14" s="17"/>
      <c r="O14" s="17"/>
      <c r="P14" s="17"/>
      <c r="Q14" s="17"/>
    </row>
    <row r="15" ht="13.5" customHeight="1" spans="2:17">
      <c r="B15" s="213" t="s">
        <v>228</v>
      </c>
      <c r="C15" s="15"/>
      <c r="D15" s="15">
        <f>'Income Statement'!D29</f>
        <v>4225</v>
      </c>
      <c r="E15" s="15">
        <f>'Income Statement'!E29</f>
        <v>4678</v>
      </c>
      <c r="F15" s="15">
        <f>'Income Statement'!F29</f>
        <v>4812</v>
      </c>
      <c r="G15" s="15">
        <f>'Income Statement'!G29</f>
        <v>4902</v>
      </c>
      <c r="H15" s="17">
        <f ca="1">'Income Statement'!H29</f>
        <v>3083.6</v>
      </c>
      <c r="I15" s="17">
        <f ca="1">'Income Statement'!I29</f>
        <v>3083.6</v>
      </c>
      <c r="J15" s="17">
        <f ca="1">'Income Statement'!J29</f>
        <v>3083.6</v>
      </c>
      <c r="K15" s="17">
        <f ca="1">'Income Statement'!K29</f>
        <v>3206.944</v>
      </c>
      <c r="L15" s="17">
        <f ca="1">'Income Statement'!L29</f>
        <v>3206.944</v>
      </c>
      <c r="M15" s="17">
        <f ca="1">'Income Statement'!M29</f>
        <v>3206.944</v>
      </c>
      <c r="N15" s="17">
        <f ca="1">'Income Statement'!N29</f>
        <v>3335.22176</v>
      </c>
      <c r="O15" s="17">
        <f ca="1">'Income Statement'!O29</f>
        <v>3335.22176</v>
      </c>
      <c r="P15" s="17">
        <f ca="1">'Income Statement'!P29</f>
        <v>3335.22176</v>
      </c>
      <c r="Q15" s="17">
        <f ca="1">'Income Statement'!Q29</f>
        <v>3468.6306304</v>
      </c>
    </row>
    <row r="16" ht="13.5" customHeight="1" spans="2:17">
      <c r="B16" s="213" t="s">
        <v>354</v>
      </c>
      <c r="C16" s="15"/>
      <c r="D16" s="15">
        <f>'Income Statement'!D34</f>
        <v>284</v>
      </c>
      <c r="E16" s="15">
        <f>'Income Statement'!E34</f>
        <v>470</v>
      </c>
      <c r="F16" s="15">
        <f>'Income Statement'!F34</f>
        <v>416</v>
      </c>
      <c r="G16" s="15">
        <f>'Income Statement'!G34</f>
        <v>416</v>
      </c>
      <c r="H16" s="17">
        <f>'Income Statement'!H34</f>
        <v>8727.00508502663</v>
      </c>
      <c r="I16" s="17">
        <f>'Income Statement'!I34</f>
        <v>9558.58433247446</v>
      </c>
      <c r="J16" s="17">
        <f>'Income Statement'!J34</f>
        <v>10381.9083719676</v>
      </c>
      <c r="K16" s="17">
        <f>'Income Statement'!K34</f>
        <v>11182.2665466091</v>
      </c>
      <c r="L16" s="17">
        <f>'Income Statement'!L34</f>
        <v>11944.3228208462</v>
      </c>
      <c r="M16" s="17">
        <f>'Income Statement'!M34</f>
        <v>12652.5322578418</v>
      </c>
      <c r="N16" s="17">
        <f>'Income Statement'!N34</f>
        <v>13291.5884606012</v>
      </c>
      <c r="O16" s="17">
        <f>'Income Statement'!O34</f>
        <v>13846.8880402586</v>
      </c>
      <c r="P16" s="17">
        <f>'Income Statement'!P34</f>
        <v>14304.9979542559</v>
      </c>
      <c r="Q16" s="17">
        <f>'Income Statement'!Q34</f>
        <v>14654.1114690599</v>
      </c>
    </row>
    <row r="17" ht="13.5" customHeight="1" spans="1:17">
      <c r="B17" s="214" t="s">
        <v>355</v>
      </c>
      <c r="C17" s="15"/>
      <c r="D17" s="15"/>
      <c r="E17" s="15"/>
      <c r="F17" s="15"/>
      <c r="G17" s="15"/>
      <c r="H17" s="17"/>
      <c r="I17" s="17"/>
      <c r="J17" s="17"/>
      <c r="K17" s="17"/>
      <c r="L17" s="17"/>
      <c r="M17" s="17"/>
      <c r="N17" s="17"/>
      <c r="O17" s="17"/>
      <c r="P17" s="17"/>
      <c r="Q17" s="17"/>
    </row>
    <row r="18" ht="13.5" customHeight="1" spans="1:17">
      <c r="B18" s="213" t="s">
        <v>152</v>
      </c>
      <c r="C18" s="15"/>
      <c r="D18" s="15">
        <f>'Balance Sheet'!E62-'Balance Sheet'!D62</f>
        <v>370</v>
      </c>
      <c r="E18" s="15">
        <f>'Balance Sheet'!F62-'Balance Sheet'!E62</f>
        <v>717</v>
      </c>
      <c r="F18" s="15">
        <f>'Balance Sheet'!G62-'Balance Sheet'!F62</f>
        <v>496</v>
      </c>
      <c r="G18" s="15">
        <f>'Balance Sheet'!H62-'Balance Sheet'!G62</f>
        <v>705</v>
      </c>
      <c r="H18" s="17">
        <f>'Balance Sheet'!I62-'Balance Sheet'!H62</f>
        <v>-766.485934134259</v>
      </c>
      <c r="I18" s="17">
        <f>'Balance Sheet'!J62-'Balance Sheet'!I62</f>
        <v>228.073274423026</v>
      </c>
      <c r="J18" s="17">
        <f>'Balance Sheet'!K62-'Balance Sheet'!J62</f>
        <v>225.809157906111</v>
      </c>
      <c r="K18" s="17">
        <f>'Balance Sheet'!L62-'Balance Sheet'!K62</f>
        <v>219.510419676727</v>
      </c>
      <c r="L18" s="17">
        <f>'Balance Sheet'!M62-'Balance Sheet'!L62</f>
        <v>209.005540113312</v>
      </c>
      <c r="M18" s="17">
        <f>'Balance Sheet'!N62-'Balance Sheet'!M62</f>
        <v>194.237224856928</v>
      </c>
      <c r="N18" s="17">
        <f>'Balance Sheet'!O62-'Balance Sheet'!N62</f>
        <v>175.270897092489</v>
      </c>
      <c r="O18" s="17">
        <f>'Balance Sheet'!P62-'Balance Sheet'!O62</f>
        <v>152.299367506927</v>
      </c>
      <c r="P18" s="17">
        <f>'Balance Sheet'!Q62-'Balance Sheet'!P62</f>
        <v>125.643621400704</v>
      </c>
      <c r="Q18" s="17">
        <f>'Balance Sheet'!R62-'Balance Sheet'!Q62</f>
        <v>95.7496987942682</v>
      </c>
    </row>
    <row r="19" ht="13.5" customHeight="1" spans="1:17">
      <c r="B19" s="213" t="s">
        <v>153</v>
      </c>
      <c r="C19" s="15"/>
      <c r="D19" s="15">
        <f>'Balance Sheet'!E63-'Balance Sheet'!D63</f>
        <v>-269</v>
      </c>
      <c r="E19" s="15">
        <f>'Balance Sheet'!F63-'Balance Sheet'!E63</f>
        <v>91</v>
      </c>
      <c r="F19" s="15">
        <f>'Balance Sheet'!G63-'Balance Sheet'!F63</f>
        <v>208</v>
      </c>
      <c r="G19" s="15">
        <f>'Balance Sheet'!H63-'Balance Sheet'!G63</f>
        <v>580</v>
      </c>
      <c r="H19" s="17">
        <f>'Balance Sheet'!I63-'Balance Sheet'!H63</f>
        <v>546.392722354602</v>
      </c>
      <c r="I19" s="17">
        <f>'Balance Sheet'!J63-'Balance Sheet'!I63</f>
        <v>504.111176273675</v>
      </c>
      <c r="J19" s="17">
        <f>'Balance Sheet'!K63-'Balance Sheet'!J63</f>
        <v>499.106791417752</v>
      </c>
      <c r="K19" s="17">
        <f>'Balance Sheet'!L63-'Balance Sheet'!K63</f>
        <v>485.184667723571</v>
      </c>
      <c r="L19" s="17">
        <f>'Balance Sheet'!M63-'Balance Sheet'!L63</f>
        <v>461.965694756557</v>
      </c>
      <c r="M19" s="17">
        <f>'Balance Sheet'!N63-'Balance Sheet'!M63</f>
        <v>429.323234589709</v>
      </c>
      <c r="N19" s="17">
        <f>'Balance Sheet'!O63-'Balance Sheet'!N63</f>
        <v>387.401892323233</v>
      </c>
      <c r="O19" s="17">
        <f>'Balance Sheet'!P63-'Balance Sheet'!O63</f>
        <v>336.627838109829</v>
      </c>
      <c r="P19" s="17">
        <f>'Balance Sheet'!Q63-'Balance Sheet'!P63</f>
        <v>277.710546910088</v>
      </c>
      <c r="Q19" s="17">
        <f>'Balance Sheet'!R63-'Balance Sheet'!Q63</f>
        <v>211.635902580594</v>
      </c>
    </row>
    <row r="20" ht="13.5" customHeight="1" spans="1:17">
      <c r="B20" s="213" t="s">
        <v>154</v>
      </c>
      <c r="C20" s="15"/>
      <c r="D20" s="15">
        <f>'Balance Sheet'!E64-'Balance Sheet'!D64</f>
        <v>2721</v>
      </c>
      <c r="E20" s="15">
        <f>'Balance Sheet'!F64-'Balance Sheet'!E64</f>
        <v>-1599</v>
      </c>
      <c r="F20" s="15">
        <f>'Balance Sheet'!G64-'Balance Sheet'!F64</f>
        <v>1179</v>
      </c>
      <c r="G20" s="15">
        <f>'Balance Sheet'!H64-'Balance Sheet'!G64</f>
        <v>3345</v>
      </c>
      <c r="H20" s="17">
        <f>'Balance Sheet'!I64-'Balance Sheet'!H64</f>
        <v>1952.46357834902</v>
      </c>
      <c r="I20" s="17">
        <f>'Balance Sheet'!J64-'Balance Sheet'!I64</f>
        <v>2233.119492449</v>
      </c>
      <c r="J20" s="17">
        <f>'Balance Sheet'!K64-'Balance Sheet'!J64</f>
        <v>2210.95099094486</v>
      </c>
      <c r="K20" s="17">
        <f>'Balance Sheet'!L64-'Balance Sheet'!K64</f>
        <v>2149.27855188573</v>
      </c>
      <c r="L20" s="17">
        <f>'Balance Sheet'!M64-'Balance Sheet'!L64</f>
        <v>2046.42278599981</v>
      </c>
      <c r="M20" s="17">
        <f>'Balance Sheet'!N64-'Balance Sheet'!M64</f>
        <v>1901.82271063765</v>
      </c>
      <c r="N20" s="17">
        <f>'Balance Sheet'!O64-'Balance Sheet'!N64</f>
        <v>1716.11889971069</v>
      </c>
      <c r="O20" s="17">
        <f>'Balance Sheet'!P64-'Balance Sheet'!O64</f>
        <v>1491.1992083586</v>
      </c>
      <c r="P20" s="17">
        <f>'Balance Sheet'!Q64-'Balance Sheet'!P64</f>
        <v>1230.20647974469</v>
      </c>
      <c r="Q20" s="17">
        <f>'Balance Sheet'!R64-'Balance Sheet'!Q64</f>
        <v>937.507997438617</v>
      </c>
    </row>
    <row r="21" ht="13.5" customHeight="1" spans="1:17">
      <c r="B21" s="213" t="s">
        <v>155</v>
      </c>
      <c r="C21" s="15"/>
      <c r="D21" s="15">
        <f>'Balance Sheet'!E65-'Balance Sheet'!D65</f>
        <v>1652</v>
      </c>
      <c r="E21" s="15">
        <f>'Balance Sheet'!F65-'Balance Sheet'!E65</f>
        <v>-291</v>
      </c>
      <c r="F21" s="15">
        <f>'Balance Sheet'!G65-'Balance Sheet'!F65</f>
        <v>1226</v>
      </c>
      <c r="G21" s="15">
        <f>'Balance Sheet'!H65-'Balance Sheet'!G65</f>
        <v>4014</v>
      </c>
      <c r="H21" s="17">
        <f>'Balance Sheet'!I65-'Balance Sheet'!H65</f>
        <v>-965.593235873357</v>
      </c>
      <c r="I21" s="17">
        <f>'Balance Sheet'!J65-'Balance Sheet'!I65</f>
        <v>1411.54056048237</v>
      </c>
      <c r="J21" s="17">
        <f>'Balance Sheet'!K65-'Balance Sheet'!J65</f>
        <v>1397.52799234887</v>
      </c>
      <c r="K21" s="17">
        <f>'Balance Sheet'!L65-'Balance Sheet'!K65</f>
        <v>1358.54523773578</v>
      </c>
      <c r="L21" s="17">
        <f>'Balance Sheet'!M65-'Balance Sheet'!L65</f>
        <v>1293.5307654165</v>
      </c>
      <c r="M21" s="17">
        <f>'Balance Sheet'!N65-'Balance Sheet'!M65</f>
        <v>1202.12998184327</v>
      </c>
      <c r="N21" s="17">
        <f>'Balance Sheet'!O65-'Balance Sheet'!N65</f>
        <v>1084.74778969194</v>
      </c>
      <c r="O21" s="17">
        <f>'Balance Sheet'!P65-'Balance Sheet'!O65</f>
        <v>942.577490131975</v>
      </c>
      <c r="P21" s="17">
        <f>'Balance Sheet'!Q65-'Balance Sheet'!P65</f>
        <v>777.60565424267</v>
      </c>
      <c r="Q21" s="17">
        <f>'Balance Sheet'!R65-'Balance Sheet'!Q65</f>
        <v>592.592814059386</v>
      </c>
    </row>
    <row r="22" ht="13.5" customHeight="1" spans="1:17">
      <c r="B22" s="213" t="s">
        <v>156</v>
      </c>
      <c r="C22" s="15"/>
      <c r="D22" s="15">
        <f>'Balance Sheet'!E66-'Balance Sheet'!D66</f>
        <v>332</v>
      </c>
      <c r="E22" s="15">
        <f>'Balance Sheet'!F66-'Balance Sheet'!E66</f>
        <v>489</v>
      </c>
      <c r="F22" s="15">
        <f>'Balance Sheet'!G66-'Balance Sheet'!F66</f>
        <v>-321</v>
      </c>
      <c r="G22" s="15">
        <f>'Balance Sheet'!H66-'Balance Sheet'!G66</f>
        <v>37</v>
      </c>
      <c r="H22" s="17">
        <f>'Balance Sheet'!I66-'Balance Sheet'!H66</f>
        <v>293.861689932634</v>
      </c>
      <c r="I22" s="17">
        <f>'Balance Sheet'!J66-'Balance Sheet'!I66</f>
        <v>172.077028771946</v>
      </c>
      <c r="J22" s="17">
        <f>'Balance Sheet'!K66-'Balance Sheet'!J66</f>
        <v>170.368795117608</v>
      </c>
      <c r="K22" s="17">
        <f>'Balance Sheet'!L66-'Balance Sheet'!K66</f>
        <v>165.616514683759</v>
      </c>
      <c r="L22" s="17">
        <f>'Balance Sheet'!M66-'Balance Sheet'!L66</f>
        <v>157.690779117184</v>
      </c>
      <c r="M22" s="17">
        <f>'Balance Sheet'!N66-'Balance Sheet'!M66</f>
        <v>146.548360893415</v>
      </c>
      <c r="N22" s="17">
        <f>'Balance Sheet'!O66-'Balance Sheet'!N66</f>
        <v>132.238620584402</v>
      </c>
      <c r="O22" s="17">
        <f>'Balance Sheet'!P66-'Balance Sheet'!O66</f>
        <v>114.907030254803</v>
      </c>
      <c r="P22" s="17">
        <f>'Balance Sheet'!Q66-'Balance Sheet'!P66</f>
        <v>94.7957673229143</v>
      </c>
      <c r="Q22" s="17">
        <f>'Balance Sheet'!R66-'Balance Sheet'!Q66</f>
        <v>72.2413606592345</v>
      </c>
    </row>
    <row r="23" ht="13.5" customHeight="1" spans="1:17">
      <c r="B23" s="213" t="s">
        <v>232</v>
      </c>
      <c r="C23" s="15"/>
      <c r="D23" s="15">
        <f>'Balance Sheet'!E67-'Balance Sheet'!D67</f>
        <v>777</v>
      </c>
      <c r="E23" s="15">
        <f>'Balance Sheet'!F67-'Balance Sheet'!E67</f>
        <v>201</v>
      </c>
      <c r="F23" s="15">
        <f>'Balance Sheet'!G67-'Balance Sheet'!F67</f>
        <v>1268</v>
      </c>
      <c r="G23" s="15">
        <f>'Balance Sheet'!H67-'Balance Sheet'!G67</f>
        <v>791</v>
      </c>
      <c r="H23" s="17">
        <f>'Balance Sheet'!I67-'Balance Sheet'!H67</f>
        <v>-585.778909558692</v>
      </c>
      <c r="I23" s="17">
        <f>'Balance Sheet'!J67-'Balance Sheet'!I67</f>
        <v>481.987995518751</v>
      </c>
      <c r="J23" s="17">
        <f>'Balance Sheet'!K67-'Balance Sheet'!J67</f>
        <v>477.203230690999</v>
      </c>
      <c r="K23" s="17">
        <f>'Balance Sheet'!L67-'Balance Sheet'!K67</f>
        <v>463.892086624875</v>
      </c>
      <c r="L23" s="17">
        <f>'Balance Sheet'!M67-'Balance Sheet'!L67</f>
        <v>441.692090344094</v>
      </c>
      <c r="M23" s="17">
        <f>'Balance Sheet'!N67-'Balance Sheet'!M67</f>
        <v>410.482161492847</v>
      </c>
      <c r="N23" s="17">
        <f>'Balance Sheet'!O67-'Balance Sheet'!N67</f>
        <v>370.400559101425</v>
      </c>
      <c r="O23" s="17">
        <f>'Balance Sheet'!P67-'Balance Sheet'!O67</f>
        <v>321.854750624064</v>
      </c>
      <c r="P23" s="17">
        <f>'Balance Sheet'!Q67-'Balance Sheet'!P67</f>
        <v>265.52307534428</v>
      </c>
      <c r="Q23" s="17">
        <f>'Balance Sheet'!R67-'Balance Sheet'!Q67</f>
        <v>202.348151093647</v>
      </c>
    </row>
    <row r="24" ht="13.5" customHeight="1" spans="1:17">
      <c r="B24" s="217" t="s">
        <v>356</v>
      </c>
      <c r="C24" s="15"/>
      <c r="D24" s="15"/>
      <c r="E24" s="15"/>
      <c r="F24" s="15"/>
      <c r="G24" s="15"/>
      <c r="H24" s="17"/>
      <c r="I24" s="17"/>
      <c r="J24" s="17"/>
      <c r="K24" s="17"/>
      <c r="L24" s="17"/>
      <c r="M24" s="17"/>
      <c r="N24" s="17"/>
      <c r="O24" s="17"/>
      <c r="P24" s="17"/>
      <c r="Q24" s="17"/>
    </row>
    <row r="25" ht="13.5" customHeight="1" spans="1:17">
      <c r="B25" s="213" t="s">
        <v>229</v>
      </c>
      <c r="C25" s="15"/>
      <c r="D25" s="15">
        <f>-'Income Statement'!D12</f>
        <v>0</v>
      </c>
      <c r="E25" s="15">
        <f>-'Income Statement'!E12</f>
        <v>0</v>
      </c>
      <c r="F25" s="15">
        <f>-'Income Statement'!F12</f>
        <v>0</v>
      </c>
      <c r="G25" s="15">
        <f>-'Income Statement'!G12</f>
        <v>0</v>
      </c>
      <c r="H25" s="17">
        <f>-'Income Statement'!H12</f>
        <v>0</v>
      </c>
      <c r="I25" s="17">
        <f>-'Income Statement'!I12</f>
        <v>0</v>
      </c>
      <c r="J25" s="17">
        <f>-'Income Statement'!J12</f>
        <v>0</v>
      </c>
      <c r="K25" s="17">
        <f>-'Income Statement'!K12</f>
        <v>0</v>
      </c>
      <c r="L25" s="17">
        <f>-'Income Statement'!L12</f>
        <v>0</v>
      </c>
      <c r="M25" s="17">
        <f>-'Income Statement'!M12</f>
        <v>0</v>
      </c>
      <c r="N25" s="17">
        <f>-'Income Statement'!N12</f>
        <v>0</v>
      </c>
      <c r="O25" s="17">
        <f>-'Income Statement'!O12</f>
        <v>0</v>
      </c>
      <c r="P25" s="17">
        <f>-'Income Statement'!P12</f>
        <v>0</v>
      </c>
      <c r="Q25" s="17">
        <f>-'Income Statement'!Q12</f>
        <v>0</v>
      </c>
    </row>
    <row r="26" ht="13.5" customHeight="1" spans="1:17">
      <c r="B26" s="213" t="s">
        <v>357</v>
      </c>
      <c r="C26" s="15"/>
      <c r="D26" s="15">
        <f>-'Income Statement'!D42</f>
        <v>-9214</v>
      </c>
      <c r="E26" s="15">
        <f>-'Income Statement'!E42</f>
        <v>-9740</v>
      </c>
      <c r="F26" s="15">
        <f>-'Income Statement'!F42</f>
        <v>-10858</v>
      </c>
      <c r="G26" s="15">
        <f>-'Income Statement'!G42</f>
        <v>-10521</v>
      </c>
      <c r="H26" s="17">
        <f ca="1">-'Income Statement'!H42</f>
        <v>-17833.8320246743</v>
      </c>
      <c r="I26" s="17">
        <f ca="1">-'Income Statement'!I42</f>
        <v>-19832.4914655094</v>
      </c>
      <c r="J26" s="17">
        <f ca="1">-'Income Statement'!J42</f>
        <v>-21853.1930683946</v>
      </c>
      <c r="K26" s="17">
        <f ca="1">-'Income Statement'!K42</f>
        <v>-23828.9050144003</v>
      </c>
      <c r="L26" s="17">
        <f ca="1">-'Income Statement'!L42</f>
        <v>-25791.190372263</v>
      </c>
      <c r="M26" s="17">
        <f ca="1">-'Income Statement'!M42</f>
        <v>-27668.6218163615</v>
      </c>
      <c r="N26" s="17">
        <f ca="1">-'Income Statement'!N42</f>
        <v>-29385.9361301515</v>
      </c>
      <c r="O26" s="17">
        <f ca="1">-'Income Statement'!O42</f>
        <v>-30976.9458262822</v>
      </c>
      <c r="P26" s="17">
        <f ca="1">-'Income Statement'!P42</f>
        <v>-32368.2375750697</v>
      </c>
      <c r="Q26" s="17">
        <f ca="1">-'Income Statement'!Q42</f>
        <v>-33485.8890011366</v>
      </c>
    </row>
    <row r="27" ht="13.5" customHeight="1" spans="1:17">
      <c r="B27" s="213" t="s">
        <v>358</v>
      </c>
      <c r="C27" s="15"/>
      <c r="D27" s="15"/>
      <c r="E27" s="15"/>
      <c r="F27" s="15"/>
      <c r="G27" s="15"/>
      <c r="H27" s="17"/>
      <c r="I27" s="17"/>
      <c r="J27" s="17"/>
      <c r="K27" s="17"/>
      <c r="L27" s="17"/>
      <c r="M27" s="17"/>
      <c r="N27" s="17"/>
      <c r="O27" s="17"/>
      <c r="P27" s="17"/>
      <c r="Q27" s="17"/>
    </row>
    <row r="28" ht="13.5" customHeight="1" spans="1:17">
      <c r="B28" s="214" t="s">
        <v>359</v>
      </c>
      <c r="C28" s="15"/>
      <c r="D28" s="15"/>
      <c r="E28" s="15"/>
      <c r="F28" s="15"/>
      <c r="G28" s="15"/>
      <c r="H28" s="17"/>
      <c r="I28" s="17"/>
      <c r="J28" s="17"/>
      <c r="K28" s="17"/>
      <c r="L28" s="17"/>
      <c r="M28" s="17"/>
      <c r="N28" s="17"/>
      <c r="O28" s="17"/>
      <c r="P28" s="17"/>
      <c r="Q28" s="17"/>
    </row>
    <row r="29" ht="13.5" customHeight="1" spans="1:17">
      <c r="A29" s="1"/>
      <c r="B29" s="213" t="s">
        <v>125</v>
      </c>
      <c r="C29" s="15"/>
      <c r="D29" s="15">
        <f>-('Balance Sheet'!E30-'Balance Sheet'!D30)</f>
        <v>-236</v>
      </c>
      <c r="E29" s="15">
        <f>-('Balance Sheet'!F30-'Balance Sheet'!E30)</f>
        <v>-6006</v>
      </c>
      <c r="F29" s="15">
        <f>-('Balance Sheet'!G30-'Balance Sheet'!F30)</f>
        <v>433</v>
      </c>
      <c r="G29" s="15">
        <f>-('Balance Sheet'!H30-'Balance Sheet'!G30)</f>
        <v>-468</v>
      </c>
      <c r="H29" s="17">
        <f>-('Balance Sheet'!I30-'Balance Sheet'!H30)</f>
        <v>-168.637560021241</v>
      </c>
      <c r="I29" s="17">
        <f>-('Balance Sheet'!J30-'Balance Sheet'!I30)</f>
        <v>-1250.04931742514</v>
      </c>
      <c r="J29" s="17">
        <f>-('Balance Sheet'!K30-'Balance Sheet'!J30)</f>
        <v>-1237.63989631387</v>
      </c>
      <c r="K29" s="17">
        <f>-('Balance Sheet'!L30-'Balance Sheet'!K30)</f>
        <v>-1203.11707269853</v>
      </c>
      <c r="L29" s="17">
        <f>-('Balance Sheet'!M30-'Balance Sheet'!L30)</f>
        <v>-1145.54076279944</v>
      </c>
      <c r="M29" s="17">
        <f>-('Balance Sheet'!N30-'Balance Sheet'!M30)</f>
        <v>-1064.59694133475</v>
      </c>
      <c r="N29" s="17">
        <f>-('Balance Sheet'!O30-'Balance Sheet'!N30)</f>
        <v>-960.644186958005</v>
      </c>
      <c r="O29" s="17">
        <f>-('Balance Sheet'!P30-'Balance Sheet'!O30)</f>
        <v>-834.739277883113</v>
      </c>
      <c r="P29" s="17">
        <f>-('Balance Sheet'!Q30-'Balance Sheet'!P30)</f>
        <v>-688.641505972595</v>
      </c>
      <c r="Q29" s="17">
        <f>-('Balance Sheet'!R30-'Balance Sheet'!Q30)</f>
        <v>-524.795576878663</v>
      </c>
    </row>
    <row r="30" ht="13.5" customHeight="1" spans="1:17">
      <c r="B30" s="213" t="s">
        <v>133</v>
      </c>
      <c r="C30" s="15"/>
      <c r="D30" s="15">
        <f>-('Balance Sheet'!E31-'Balance Sheet'!D31)</f>
        <v>-2726</v>
      </c>
      <c r="E30" s="15">
        <f>-('Balance Sheet'!F31-'Balance Sheet'!E31)</f>
        <v>-4769</v>
      </c>
      <c r="F30" s="15">
        <f>-('Balance Sheet'!G31-'Balance Sheet'!F31)</f>
        <v>-965</v>
      </c>
      <c r="G30" s="15">
        <f>-('Balance Sheet'!H31-'Balance Sheet'!G31)</f>
        <v>-4076</v>
      </c>
      <c r="H30" s="17">
        <f>-('Balance Sheet'!I31-'Balance Sheet'!H31)</f>
        <v>-924.373509770092</v>
      </c>
      <c r="I30" s="17">
        <f>-('Balance Sheet'!J31-'Balance Sheet'!I31)</f>
        <v>-3445.46069805577</v>
      </c>
      <c r="J30" s="17">
        <f>-('Balance Sheet'!K31-'Balance Sheet'!J31)</f>
        <v>-3411.25710934251</v>
      </c>
      <c r="K30" s="17">
        <f>-('Balance Sheet'!L31-'Balance Sheet'!K31)</f>
        <v>-3316.10323797559</v>
      </c>
      <c r="L30" s="17">
        <f>-('Balance Sheet'!M31-'Balance Sheet'!L31)</f>
        <v>-3157.40796881212</v>
      </c>
      <c r="M30" s="17">
        <f>-('Balance Sheet'!N31-'Balance Sheet'!M31)</f>
        <v>-2934.30576658744</v>
      </c>
      <c r="N30" s="17">
        <f>-('Balance Sheet'!O31-'Balance Sheet'!N31)</f>
        <v>-2647.7849672341</v>
      </c>
      <c r="O30" s="17">
        <f>-('Balance Sheet'!P31-'Balance Sheet'!O31)</f>
        <v>-2300.75832607457</v>
      </c>
      <c r="P30" s="17">
        <f>-('Balance Sheet'!Q31-'Balance Sheet'!P31)</f>
        <v>-1898.07490856903</v>
      </c>
      <c r="Q30" s="17">
        <f>-('Balance Sheet'!R31-'Balance Sheet'!Q31)</f>
        <v>-1446.47295866167</v>
      </c>
    </row>
    <row r="31" ht="13.5" customHeight="1" spans="1:17">
      <c r="B31" s="213" t="s">
        <v>127</v>
      </c>
      <c r="C31" s="15"/>
      <c r="D31" s="15">
        <f>-(('Balance Sheet'!E33+'Balance Sheet'!E34)-('Balance Sheet'!D33+'Balance Sheet'!D34))</f>
        <v>-2918</v>
      </c>
      <c r="E31" s="15">
        <f>-(('Balance Sheet'!F33+'Balance Sheet'!F34)-('Balance Sheet'!E33+'Balance Sheet'!E34))</f>
        <v>-440</v>
      </c>
      <c r="F31" s="15">
        <f>-(('Balance Sheet'!G33+'Balance Sheet'!G34)-('Balance Sheet'!F33+'Balance Sheet'!F34))</f>
        <v>-1756</v>
      </c>
      <c r="G31" s="15">
        <f>-(('Balance Sheet'!H33+'Balance Sheet'!H34)-('Balance Sheet'!G33+'Balance Sheet'!G34))</f>
        <v>-2035</v>
      </c>
      <c r="H31" s="17">
        <f>-(('Balance Sheet'!I33+'Balance Sheet'!I34)-('Balance Sheet'!H33+'Balance Sheet'!H34))</f>
        <v>98.557936142437</v>
      </c>
      <c r="I31" s="17">
        <f>-(('Balance Sheet'!J33+'Balance Sheet'!J34)-('Balance Sheet'!I33+'Balance Sheet'!I34))</f>
        <v>-1504.73563148366</v>
      </c>
      <c r="J31" s="17">
        <f>-(('Balance Sheet'!K33+'Balance Sheet'!K34)-('Balance Sheet'!J33+'Balance Sheet'!J34))</f>
        <v>-1489.79790234616</v>
      </c>
      <c r="K31" s="17">
        <f>-(('Balance Sheet'!L33+'Balance Sheet'!L34)-('Balance Sheet'!K33+'Balance Sheet'!K34))</f>
        <v>-1448.2413636806</v>
      </c>
      <c r="L31" s="17">
        <f>-(('Balance Sheet'!M33+'Balance Sheet'!M34)-('Balance Sheet'!L33+'Balance Sheet'!L34))</f>
        <v>-1378.93439808586</v>
      </c>
      <c r="M31" s="17">
        <f>-(('Balance Sheet'!N33+'Balance Sheet'!N34)-('Balance Sheet'!M33+'Balance Sheet'!M34))</f>
        <v>-1281.49900045112</v>
      </c>
      <c r="N31" s="17">
        <f>-(('Balance Sheet'!O33+'Balance Sheet'!O34)-('Balance Sheet'!N33+'Balance Sheet'!N34))</f>
        <v>-1156.36680660795</v>
      </c>
      <c r="O31" s="17">
        <f>-(('Balance Sheet'!P33+'Balance Sheet'!P34)-('Balance Sheet'!O33+'Balance Sheet'!O34))</f>
        <v>-1004.80990383396</v>
      </c>
      <c r="P31" s="17">
        <f>-(('Balance Sheet'!Q33+'Balance Sheet'!Q34)-('Balance Sheet'!P33+'Balance Sheet'!P34))</f>
        <v>-828.946023897639</v>
      </c>
      <c r="Q31" s="17">
        <f>-(('Balance Sheet'!R33+'Balance Sheet'!R34)-('Balance Sheet'!Q33+'Balance Sheet'!Q34))</f>
        <v>-631.717959256945</v>
      </c>
    </row>
    <row r="32" ht="13.5" customHeight="1" spans="1:17">
      <c r="B32" s="213" t="s">
        <v>135</v>
      </c>
      <c r="C32" s="15"/>
      <c r="D32" s="15">
        <f>-(('Balance Sheet'!E35+'Balance Sheet'!E36)-('Balance Sheet'!D35+'Balance Sheet'!D36))</f>
        <v>-3115</v>
      </c>
      <c r="E32" s="15">
        <f>-(('Balance Sheet'!F35+'Balance Sheet'!F36)-('Balance Sheet'!E35+'Balance Sheet'!E36))</f>
        <v>-4723</v>
      </c>
      <c r="F32" s="15">
        <f>-(('Balance Sheet'!G35+'Balance Sheet'!G36)-('Balance Sheet'!F35+'Balance Sheet'!F36))</f>
        <v>4290</v>
      </c>
      <c r="G32" s="15">
        <f>-(('Balance Sheet'!H35+'Balance Sheet'!H36)-('Balance Sheet'!G35+'Balance Sheet'!G36))</f>
        <v>-2065</v>
      </c>
      <c r="H32" s="17">
        <f>-(('Balance Sheet'!I35+'Balance Sheet'!I36)-('Balance Sheet'!H35+'Balance Sheet'!H36))</f>
        <v>-2740.32180486494</v>
      </c>
      <c r="I32" s="17">
        <f>-(('Balance Sheet'!J35+'Balance Sheet'!J36)-('Balance Sheet'!I35+'Balance Sheet'!I36))</f>
        <v>-1879.11089842897</v>
      </c>
      <c r="J32" s="17">
        <f>-(('Balance Sheet'!K35+'Balance Sheet'!K36)-('Balance Sheet'!J35+'Balance Sheet'!J36))</f>
        <v>-1860.45669164822</v>
      </c>
      <c r="K32" s="17">
        <f>-(('Balance Sheet'!L35+'Balance Sheet'!L36)-('Balance Sheet'!K35+'Balance Sheet'!K36))</f>
        <v>-1808.5609678589</v>
      </c>
      <c r="L32" s="17">
        <f>-(('Balance Sheet'!M35+'Balance Sheet'!M36)-('Balance Sheet'!L35+'Balance Sheet'!L36))</f>
        <v>-1722.01056547512</v>
      </c>
      <c r="M32" s="17">
        <f>-(('Balance Sheet'!N35+'Balance Sheet'!N36)-('Balance Sheet'!M35+'Balance Sheet'!M36))</f>
        <v>-1600.33343245762</v>
      </c>
      <c r="N32" s="17">
        <f>-(('Balance Sheet'!O35+'Balance Sheet'!O36)-('Balance Sheet'!N35+'Balance Sheet'!N36))</f>
        <v>-1444.06859478432</v>
      </c>
      <c r="O32" s="17">
        <f>-(('Balance Sheet'!P35+'Balance Sheet'!P36)-('Balance Sheet'!O35+'Balance Sheet'!O36))</f>
        <v>-1254.80463254669</v>
      </c>
      <c r="P32" s="17">
        <f>-(('Balance Sheet'!Q35+'Balance Sheet'!Q36)-('Balance Sheet'!P35+'Balance Sheet'!P36))</f>
        <v>-1035.18616501395</v>
      </c>
      <c r="Q32" s="17">
        <f>-(('Balance Sheet'!R35+'Balance Sheet'!R36)-('Balance Sheet'!Q35+'Balance Sheet'!Q36))</f>
        <v>-788.888145622353</v>
      </c>
    </row>
    <row r="33" ht="13.5" customHeight="1" spans="1:17">
      <c r="B33" s="213"/>
      <c r="C33" s="15"/>
      <c r="D33" s="15"/>
      <c r="E33" s="15"/>
      <c r="F33" s="15"/>
      <c r="G33" s="15"/>
      <c r="H33" s="17"/>
      <c r="I33" s="17"/>
      <c r="J33" s="17"/>
      <c r="K33" s="17"/>
      <c r="L33" s="17"/>
      <c r="M33" s="17"/>
      <c r="N33" s="17"/>
      <c r="O33" s="17"/>
      <c r="P33" s="17"/>
      <c r="Q33" s="17"/>
    </row>
    <row r="34" s="1" customFormat="1" ht="13.5" customHeight="1" spans="1:17">
      <c r="A34" s="3"/>
      <c r="B34" s="218" t="s">
        <v>360</v>
      </c>
      <c r="C34" s="219"/>
      <c r="D34" s="219">
        <f t="shared" ref="D34:Q34" si="0">SUM(D13:D32)</f>
        <v>25205</v>
      </c>
      <c r="E34" s="219">
        <f t="shared" si="0"/>
        <v>15066</v>
      </c>
      <c r="F34" s="219">
        <f t="shared" si="0"/>
        <v>38036</v>
      </c>
      <c r="G34" s="219">
        <f t="shared" si="0"/>
        <v>35620</v>
      </c>
      <c r="H34" s="219">
        <f ca="1" t="shared" si="0"/>
        <v>57746.7534633454</v>
      </c>
      <c r="I34" s="219">
        <f ca="1" t="shared" si="0"/>
        <v>63472.1191409362</v>
      </c>
      <c r="J34" s="219">
        <f ca="1" t="shared" si="0"/>
        <v>68919.6587773388</v>
      </c>
      <c r="K34" s="219">
        <f ca="1" t="shared" si="0"/>
        <v>74258.6396102759</v>
      </c>
      <c r="L34" s="219">
        <f ca="1" t="shared" si="0"/>
        <v>79321.2440774599</v>
      </c>
      <c r="M34" s="219">
        <f ca="1" t="shared" si="0"/>
        <v>84039.2310344334</v>
      </c>
      <c r="N34" s="219">
        <f ca="1" t="shared" si="0"/>
        <v>88348.7099634776</v>
      </c>
      <c r="O34" s="219">
        <f ca="1" t="shared" si="0"/>
        <v>92081.3629801358</v>
      </c>
      <c r="P34" s="219">
        <f ca="1" t="shared" si="0"/>
        <v>95184.9578566922</v>
      </c>
      <c r="Q34" s="219">
        <f ca="1" t="shared" si="0"/>
        <v>97620.7921319638</v>
      </c>
    </row>
    <row r="35" ht="13.5" customHeight="1" spans="1:17">
      <c r="B35" s="213"/>
      <c r="C35" s="15"/>
      <c r="D35" s="15"/>
      <c r="E35" s="15"/>
      <c r="F35" s="15"/>
      <c r="G35" s="15"/>
      <c r="H35" s="17"/>
      <c r="I35" s="17"/>
      <c r="J35" s="17"/>
      <c r="K35" s="17"/>
      <c r="L35" s="17"/>
      <c r="M35" s="17"/>
      <c r="N35" s="17"/>
      <c r="O35" s="17"/>
      <c r="P35" s="17"/>
      <c r="Q35" s="17"/>
    </row>
    <row r="36" ht="13.5" customHeight="1" spans="1:17">
      <c r="B36" s="214" t="s">
        <v>361</v>
      </c>
      <c r="C36" s="15"/>
      <c r="D36" s="15"/>
      <c r="E36" s="15"/>
      <c r="F36" s="15"/>
      <c r="G36" s="15"/>
      <c r="H36" s="17"/>
      <c r="I36" s="17"/>
      <c r="J36" s="17"/>
      <c r="K36" s="17"/>
      <c r="L36" s="17"/>
      <c r="M36" s="17"/>
      <c r="N36" s="17"/>
      <c r="O36" s="17"/>
      <c r="P36" s="17"/>
      <c r="Q36" s="17"/>
    </row>
    <row r="37" ht="13.5" customHeight="1" spans="1:17">
      <c r="B37" s="216" t="s">
        <v>353</v>
      </c>
      <c r="C37" s="15"/>
      <c r="D37" s="15"/>
      <c r="E37" s="15"/>
      <c r="F37" s="15"/>
      <c r="G37" s="15"/>
      <c r="H37" s="17"/>
      <c r="I37" s="17"/>
      <c r="J37" s="17"/>
      <c r="K37" s="17"/>
      <c r="L37" s="17"/>
      <c r="M37" s="17"/>
      <c r="N37" s="17"/>
      <c r="O37" s="17"/>
      <c r="P37" s="17"/>
      <c r="Q37" s="17"/>
    </row>
    <row r="38" ht="13.5" customHeight="1" spans="1:17">
      <c r="B38" s="213" t="s">
        <v>229</v>
      </c>
      <c r="C38" s="15"/>
      <c r="D38" s="15">
        <f>'Income Statement'!D12</f>
        <v>0</v>
      </c>
      <c r="E38" s="15">
        <f>'Income Statement'!E12</f>
        <v>0</v>
      </c>
      <c r="F38" s="15">
        <f>'Income Statement'!F12</f>
        <v>0</v>
      </c>
      <c r="G38" s="15">
        <f>'Income Statement'!G12</f>
        <v>0</v>
      </c>
      <c r="H38" s="17">
        <f>'Income Statement'!H12</f>
        <v>0</v>
      </c>
      <c r="I38" s="17">
        <f>'Income Statement'!I12</f>
        <v>0</v>
      </c>
      <c r="J38" s="17">
        <f>'Income Statement'!J12</f>
        <v>0</v>
      </c>
      <c r="K38" s="17">
        <f>'Income Statement'!K12</f>
        <v>0</v>
      </c>
      <c r="L38" s="17">
        <f>'Income Statement'!L12</f>
        <v>0</v>
      </c>
      <c r="M38" s="17">
        <f>'Income Statement'!M12</f>
        <v>0</v>
      </c>
      <c r="N38" s="17">
        <f>'Income Statement'!N12</f>
        <v>0</v>
      </c>
      <c r="O38" s="17">
        <f>'Income Statement'!O12</f>
        <v>0</v>
      </c>
      <c r="P38" s="17">
        <f>'Income Statement'!P12</f>
        <v>0</v>
      </c>
      <c r="Q38" s="17">
        <f>'Income Statement'!Q12</f>
        <v>0</v>
      </c>
    </row>
    <row r="39" ht="13.5" customHeight="1" spans="1:17">
      <c r="B39" s="217" t="s">
        <v>356</v>
      </c>
      <c r="C39" s="15"/>
      <c r="D39" s="15"/>
      <c r="E39" s="15"/>
      <c r="F39" s="15"/>
      <c r="G39" s="15"/>
      <c r="H39" s="17"/>
      <c r="I39" s="17"/>
      <c r="J39" s="17"/>
      <c r="K39" s="17"/>
      <c r="L39" s="17"/>
      <c r="M39" s="17"/>
      <c r="N39" s="17"/>
      <c r="O39" s="17"/>
      <c r="P39" s="17"/>
      <c r="Q39" s="17"/>
    </row>
    <row r="40" ht="13.5" customHeight="1" spans="1:17">
      <c r="B40" s="220" t="s">
        <v>362</v>
      </c>
      <c r="C40" s="15"/>
      <c r="D40" s="15">
        <f>-((('Balance Sheet'!E13+'Balance Sheet'!E14+'Balance Sheet'!E16+'Balance Sheet'!E17)-('Balance Sheet'!D13+'Balance Sheet'!D14+'Balance Sheet'!D16+'Balance Sheet'!D17))+'Income Statement'!D29)</f>
        <v>-7650</v>
      </c>
      <c r="E40" s="15">
        <f>-((('Balance Sheet'!F13+'Balance Sheet'!F14+'Balance Sheet'!F16+'Balance Sheet'!F17)-('Balance Sheet'!E13+'Balance Sheet'!E14+'Balance Sheet'!E16+'Balance Sheet'!E17))+'Income Statement'!E29)</f>
        <v>-3075</v>
      </c>
      <c r="F40" s="15">
        <f>-((('Balance Sheet'!G13+'Balance Sheet'!G14+'Balance Sheet'!G16+'Balance Sheet'!G17)-('Balance Sheet'!F13+'Balance Sheet'!F14+'Balance Sheet'!F16+'Balance Sheet'!F17))+'Income Statement'!F29)</f>
        <v>-8151</v>
      </c>
      <c r="G40" s="15">
        <f>-((('Balance Sheet'!H13+'Balance Sheet'!H14+'Balance Sheet'!H16+'Balance Sheet'!H17)-('Balance Sheet'!G13+'Balance Sheet'!G14+'Balance Sheet'!G16+'Balance Sheet'!G17))+'Income Statement'!G29)</f>
        <v>-7711</v>
      </c>
      <c r="H40" s="17">
        <f ca="1">-((('Balance Sheet'!I13+'Balance Sheet'!I14+'Balance Sheet'!I16+'Balance Sheet'!I17)-('Balance Sheet'!H13+'Balance Sheet'!H14+'Balance Sheet'!H16+'Balance Sheet'!H17))+'Income Statement'!H29)</f>
        <v>-3902.08</v>
      </c>
      <c r="I40" s="17">
        <f ca="1">-((('Balance Sheet'!J13+'Balance Sheet'!J14+'Balance Sheet'!J16+'Balance Sheet'!J17)-('Balance Sheet'!I13+'Balance Sheet'!I14+'Balance Sheet'!I16+'Balance Sheet'!I17))+'Income Statement'!I29)</f>
        <v>-3902.08</v>
      </c>
      <c r="J40" s="17">
        <f ca="1">-((('Balance Sheet'!K13+'Balance Sheet'!K14+'Balance Sheet'!K16+'Balance Sheet'!K17)-('Balance Sheet'!J13+'Balance Sheet'!J14+'Balance Sheet'!J16+'Balance Sheet'!J17))+'Income Statement'!J29)</f>
        <v>-3902.08</v>
      </c>
      <c r="K40" s="17">
        <f ca="1">-((('Balance Sheet'!L13+'Balance Sheet'!L14+'Balance Sheet'!L16+'Balance Sheet'!L17)-('Balance Sheet'!K13+'Balance Sheet'!K14+'Balance Sheet'!K16+'Balance Sheet'!K17))+'Income Statement'!K29)</f>
        <v>-4058.1632</v>
      </c>
      <c r="L40" s="17">
        <f ca="1">-((('Balance Sheet'!M13+'Balance Sheet'!M14+'Balance Sheet'!M16+'Balance Sheet'!M17)-('Balance Sheet'!L13+'Balance Sheet'!L14+'Balance Sheet'!L16+'Balance Sheet'!L17))+'Income Statement'!L29)</f>
        <v>-4058.1632</v>
      </c>
      <c r="M40" s="17">
        <f ca="1">-((('Balance Sheet'!N13+'Balance Sheet'!N14+'Balance Sheet'!N16+'Balance Sheet'!N17)-('Balance Sheet'!M13+'Balance Sheet'!M14+'Balance Sheet'!M16+'Balance Sheet'!M17))+'Income Statement'!M29)</f>
        <v>-4058.1632</v>
      </c>
      <c r="N40" s="17">
        <f ca="1">-((('Balance Sheet'!O13+'Balance Sheet'!O14+'Balance Sheet'!O16+'Balance Sheet'!O17)-('Balance Sheet'!N13+'Balance Sheet'!N14+'Balance Sheet'!N16+'Balance Sheet'!N17))+'Income Statement'!N29)</f>
        <v>-4220.489728</v>
      </c>
      <c r="O40" s="17">
        <f ca="1">-((('Balance Sheet'!P13+'Balance Sheet'!P14+'Balance Sheet'!P16+'Balance Sheet'!P17)-('Balance Sheet'!O13+'Balance Sheet'!O14+'Balance Sheet'!O16+'Balance Sheet'!O17))+'Income Statement'!O29)</f>
        <v>-4220.489728</v>
      </c>
      <c r="P40" s="17">
        <f ca="1">-((('Balance Sheet'!Q13+'Balance Sheet'!Q14+'Balance Sheet'!Q16+'Balance Sheet'!Q17)-('Balance Sheet'!P13+'Balance Sheet'!P14+'Balance Sheet'!P16+'Balance Sheet'!P17))+'Income Statement'!P29)</f>
        <v>-4220.489728</v>
      </c>
      <c r="Q40" s="17">
        <f ca="1">-((('Balance Sheet'!R13+'Balance Sheet'!R14+'Balance Sheet'!R16+'Balance Sheet'!R17)-('Balance Sheet'!Q13+'Balance Sheet'!Q14+'Balance Sheet'!Q16+'Balance Sheet'!Q17))+'Income Statement'!Q29)</f>
        <v>-4389.30931712</v>
      </c>
    </row>
    <row r="41" ht="13.5" customHeight="1" spans="1:17">
      <c r="B41" s="213" t="s">
        <v>289</v>
      </c>
      <c r="C41" s="15"/>
      <c r="D41" s="15">
        <f>-('Balance Sheet'!E15-'Balance Sheet'!D15)</f>
        <v>128</v>
      </c>
      <c r="E41" s="15">
        <f>-('Balance Sheet'!F15-'Balance Sheet'!E15)</f>
        <v>-5</v>
      </c>
      <c r="F41" s="15">
        <f>-('Balance Sheet'!G15-'Balance Sheet'!F15)</f>
        <v>-521</v>
      </c>
      <c r="G41" s="15">
        <f>-('Balance Sheet'!H15-'Balance Sheet'!G15)</f>
        <v>288</v>
      </c>
      <c r="H41" s="17">
        <f>-('Balance Sheet'!I15-'Balance Sheet'!H15)</f>
        <v>-22</v>
      </c>
      <c r="I41" s="17">
        <f>-('Balance Sheet'!J15-'Balance Sheet'!I15)</f>
        <v>-22.11</v>
      </c>
      <c r="J41" s="17">
        <f>-('Balance Sheet'!K15-'Balance Sheet'!J15)</f>
        <v>-22.22055</v>
      </c>
      <c r="K41" s="17">
        <f>-('Balance Sheet'!L15-'Balance Sheet'!K15)</f>
        <v>-22.33165275</v>
      </c>
      <c r="L41" s="17">
        <f>-('Balance Sheet'!M15-'Balance Sheet'!L15)</f>
        <v>-22.44331101375</v>
      </c>
      <c r="M41" s="17">
        <f>-('Balance Sheet'!N15-'Balance Sheet'!M15)</f>
        <v>-22.5555275688188</v>
      </c>
      <c r="N41" s="17">
        <f>-('Balance Sheet'!O15-'Balance Sheet'!N15)</f>
        <v>-22.6683052066628</v>
      </c>
      <c r="O41" s="17">
        <f>-('Balance Sheet'!P15-'Balance Sheet'!O15)</f>
        <v>-22.7816467326961</v>
      </c>
      <c r="P41" s="17">
        <f>-('Balance Sheet'!Q15-'Balance Sheet'!P15)</f>
        <v>-22.8955549663597</v>
      </c>
      <c r="Q41" s="17">
        <f>-('Balance Sheet'!R15-'Balance Sheet'!Q15)</f>
        <v>-23.0100327411914</v>
      </c>
    </row>
    <row r="42" ht="13.5" customHeight="1" spans="1:17">
      <c r="B42" s="217" t="s">
        <v>356</v>
      </c>
      <c r="C42" s="15"/>
      <c r="D42" s="15"/>
      <c r="E42" s="15"/>
      <c r="F42" s="15"/>
      <c r="G42" s="15"/>
      <c r="H42" s="17"/>
      <c r="I42" s="17"/>
      <c r="J42" s="17"/>
      <c r="K42" s="17"/>
      <c r="L42" s="17"/>
      <c r="M42" s="17"/>
      <c r="N42" s="17"/>
      <c r="O42" s="17"/>
      <c r="P42" s="17"/>
      <c r="Q42" s="17"/>
    </row>
    <row r="43" ht="13.5" customHeight="1" spans="1:17">
      <c r="B43" s="214" t="s">
        <v>363</v>
      </c>
      <c r="C43" s="15"/>
      <c r="D43" s="15"/>
      <c r="E43" s="15"/>
      <c r="F43" s="15"/>
      <c r="G43" s="15"/>
      <c r="H43" s="17"/>
      <c r="I43" s="17"/>
      <c r="J43" s="17"/>
      <c r="K43" s="17"/>
      <c r="L43" s="17"/>
      <c r="M43" s="17"/>
      <c r="N43" s="17"/>
      <c r="O43" s="17"/>
      <c r="P43" s="17"/>
      <c r="Q43" s="17"/>
    </row>
    <row r="44" ht="13.5" customHeight="1" spans="1:17">
      <c r="A44" s="1"/>
      <c r="B44" s="213" t="s">
        <v>125</v>
      </c>
      <c r="C44" s="15"/>
      <c r="D44" s="15">
        <f>-('Balance Sheet'!E19-'Balance Sheet'!D19)</f>
        <v>1082</v>
      </c>
      <c r="E44" s="15">
        <f>-('Balance Sheet'!F19-'Balance Sheet'!E19)</f>
        <v>861</v>
      </c>
      <c r="F44" s="15">
        <f>-('Balance Sheet'!G19-'Balance Sheet'!F19)</f>
        <v>649</v>
      </c>
      <c r="G44" s="15">
        <f>-('Balance Sheet'!H19-'Balance Sheet'!G19)</f>
        <v>2129</v>
      </c>
      <c r="H44" s="17">
        <f>-('Balance Sheet'!I19-'Balance Sheet'!H19)</f>
        <v>-6414.304998777</v>
      </c>
      <c r="I44" s="17">
        <f>-('Balance Sheet'!J19-'Balance Sheet'!I19)</f>
        <v>-1462.12881500275</v>
      </c>
      <c r="J44" s="17">
        <f>-('Balance Sheet'!K19-'Balance Sheet'!J19)</f>
        <v>-1447.61404991999</v>
      </c>
      <c r="K44" s="17">
        <f>-('Balance Sheet'!L19-'Balance Sheet'!K19)</f>
        <v>-1407.23419091792</v>
      </c>
      <c r="L44" s="17">
        <f>-('Balance Sheet'!M19-'Balance Sheet'!L19)</f>
        <v>-1339.88966251292</v>
      </c>
      <c r="M44" s="17">
        <f>-('Balance Sheet'!N19-'Balance Sheet'!M19)</f>
        <v>-1245.21316286591</v>
      </c>
      <c r="N44" s="17">
        <f>-('Balance Sheet'!O19-'Balance Sheet'!N19)</f>
        <v>-1123.62410597476</v>
      </c>
      <c r="O44" s="17">
        <f>-('Balance Sheet'!P19-'Balance Sheet'!O19)</f>
        <v>-976.358559773842</v>
      </c>
      <c r="P44" s="17">
        <f>-('Balance Sheet'!Q19-'Balance Sheet'!P19)</f>
        <v>-805.474292137045</v>
      </c>
      <c r="Q44" s="17">
        <f>-('Balance Sheet'!R19-'Balance Sheet'!Q19)</f>
        <v>-613.83076990979</v>
      </c>
    </row>
    <row r="45" ht="13.5" customHeight="1" spans="1:17">
      <c r="B45" s="213" t="s">
        <v>127</v>
      </c>
      <c r="C45" s="15"/>
      <c r="D45" s="15">
        <f>-(('Balance Sheet'!E20+'Balance Sheet'!E21)-('Balance Sheet'!D20+'Balance Sheet'!D21))</f>
        <v>-1343</v>
      </c>
      <c r="E45" s="15">
        <f>-(('Balance Sheet'!F20+'Balance Sheet'!F21)-('Balance Sheet'!E20+'Balance Sheet'!E21))</f>
        <v>-302</v>
      </c>
      <c r="F45" s="15">
        <f>-(('Balance Sheet'!G20+'Balance Sheet'!G21)-('Balance Sheet'!F20+'Balance Sheet'!F21))</f>
        <v>-388</v>
      </c>
      <c r="G45" s="15">
        <f>-(('Balance Sheet'!H20+'Balance Sheet'!H21)-('Balance Sheet'!G20+'Balance Sheet'!G21))</f>
        <v>745</v>
      </c>
      <c r="H45" s="17">
        <f>-(('Balance Sheet'!I20+'Balance Sheet'!I21)-('Balance Sheet'!H20+'Balance Sheet'!H21))</f>
        <v>-683.413481612507</v>
      </c>
      <c r="I45" s="17">
        <f>-(('Balance Sheet'!J20+'Balance Sheet'!J21)-('Balance Sheet'!I20+'Balance Sheet'!I21))</f>
        <v>-329.640745206627</v>
      </c>
      <c r="J45" s="17">
        <f>-(('Balance Sheet'!K20+'Balance Sheet'!K21)-('Balance Sheet'!J20+'Balance Sheet'!J21))</f>
        <v>-326.368353657206</v>
      </c>
      <c r="K45" s="17">
        <f>-(('Balance Sheet'!L20+'Balance Sheet'!L21)-('Balance Sheet'!K20+'Balance Sheet'!K21))</f>
        <v>-317.264609393227</v>
      </c>
      <c r="L45" s="17">
        <f>-(('Balance Sheet'!M20+'Balance Sheet'!M21)-('Balance Sheet'!L20+'Balance Sheet'!L21))</f>
        <v>-302.081610261259</v>
      </c>
      <c r="M45" s="17">
        <f>-(('Balance Sheet'!N20+'Balance Sheet'!N21)-('Balance Sheet'!M20+'Balance Sheet'!M21))</f>
        <v>-280.73654710611</v>
      </c>
      <c r="N45" s="17">
        <f>-(('Balance Sheet'!O20+'Balance Sheet'!O21)-('Balance Sheet'!N20+'Balance Sheet'!N21))</f>
        <v>-253.323977904746</v>
      </c>
      <c r="O45" s="17">
        <f>-(('Balance Sheet'!P20+'Balance Sheet'!P21)-('Balance Sheet'!O20+'Balance Sheet'!O21))</f>
        <v>-220.12257738872</v>
      </c>
      <c r="P45" s="17">
        <f>-(('Balance Sheet'!Q20+'Balance Sheet'!Q21)-('Balance Sheet'!P20+'Balance Sheet'!P21))</f>
        <v>-181.596274678669</v>
      </c>
      <c r="Q45" s="17">
        <f>-(('Balance Sheet'!R20+'Balance Sheet'!R21)-('Balance Sheet'!Q20+'Balance Sheet'!Q21))</f>
        <v>-138.389744014066</v>
      </c>
    </row>
    <row r="46" ht="13.5" customHeight="1" spans="1:17">
      <c r="A46" s="208"/>
      <c r="B46" s="213" t="s">
        <v>128</v>
      </c>
      <c r="C46" s="15"/>
      <c r="D46" s="15">
        <f>-('Balance Sheet'!E22-'Balance Sheet'!D22)</f>
        <v>-33</v>
      </c>
      <c r="E46" s="15">
        <f>-('Balance Sheet'!F22-'Balance Sheet'!E22)</f>
        <v>791</v>
      </c>
      <c r="F46" s="15">
        <f>-('Balance Sheet'!G22-'Balance Sheet'!F22)</f>
        <v>-654</v>
      </c>
      <c r="G46" s="15">
        <f>-('Balance Sheet'!H22-'Balance Sheet'!G22)</f>
        <v>-1156</v>
      </c>
      <c r="H46" s="17">
        <f>-('Balance Sheet'!I22-'Balance Sheet'!H22)</f>
        <v>663.677398351772</v>
      </c>
      <c r="I46" s="17">
        <f>-('Balance Sheet'!J22-'Balance Sheet'!I22)</f>
        <v>-152.491611015066</v>
      </c>
      <c r="J46" s="17">
        <f>-('Balance Sheet'!K22-'Balance Sheet'!J22)</f>
        <v>-150.977804647074</v>
      </c>
      <c r="K46" s="17">
        <f>-('Balance Sheet'!L22-'Balance Sheet'!K22)</f>
        <v>-146.766418010956</v>
      </c>
      <c r="L46" s="17">
        <f>-('Balance Sheet'!M22-'Balance Sheet'!L22)</f>
        <v>-139.742771719224</v>
      </c>
      <c r="M46" s="17">
        <f>-('Balance Sheet'!N22-'Balance Sheet'!M22)</f>
        <v>-129.868558306357</v>
      </c>
      <c r="N46" s="17">
        <f>-('Balance Sheet'!O22-'Balance Sheet'!N22)</f>
        <v>-117.187520235782</v>
      </c>
      <c r="O46" s="17">
        <f>-('Balance Sheet'!P22-'Balance Sheet'!O22)</f>
        <v>-101.828572271167</v>
      </c>
      <c r="P46" s="17">
        <f>-('Balance Sheet'!Q22-'Balance Sheet'!P22)</f>
        <v>-84.0063277454574</v>
      </c>
      <c r="Q46" s="17">
        <f>-('Balance Sheet'!R22-'Balance Sheet'!Q22)</f>
        <v>-64.0190125751587</v>
      </c>
    </row>
    <row r="47" ht="13.5" customHeight="1" spans="1:17">
      <c r="A47" s="208"/>
      <c r="B47" s="213" t="s">
        <v>129</v>
      </c>
      <c r="C47" s="15"/>
      <c r="D47" s="15">
        <f>-('Balance Sheet'!E23-'Balance Sheet'!D23)</f>
        <v>-355</v>
      </c>
      <c r="E47" s="15">
        <f>-('Balance Sheet'!F23-'Balance Sheet'!E23)</f>
        <v>3408</v>
      </c>
      <c r="F47" s="15">
        <f>-('Balance Sheet'!G23-'Balance Sheet'!F23)</f>
        <v>1423</v>
      </c>
      <c r="G47" s="15">
        <f>-('Balance Sheet'!H23-'Balance Sheet'!G23)</f>
        <v>956</v>
      </c>
      <c r="H47" s="17">
        <f>-('Balance Sheet'!I23-'Balance Sheet'!H23)</f>
        <v>-4329.88811940175</v>
      </c>
      <c r="I47" s="17">
        <f>-('Balance Sheet'!J23-'Balance Sheet'!I23)</f>
        <v>-476.048408610843</v>
      </c>
      <c r="J47" s="17">
        <f>-('Balance Sheet'!K23-'Balance Sheet'!J23)</f>
        <v>-471.322606924897</v>
      </c>
      <c r="K47" s="17">
        <f>-('Balance Sheet'!L23-'Balance Sheet'!K23)</f>
        <v>-458.175497435898</v>
      </c>
      <c r="L47" s="17">
        <f>-('Balance Sheet'!M23-'Balance Sheet'!L23)</f>
        <v>-436.249073958778</v>
      </c>
      <c r="M47" s="17">
        <f>-('Balance Sheet'!N23-'Balance Sheet'!M23)</f>
        <v>-405.423748223221</v>
      </c>
      <c r="N47" s="17">
        <f>-('Balance Sheet'!O23-'Balance Sheet'!N23)</f>
        <v>-365.836075479478</v>
      </c>
      <c r="O47" s="17">
        <f>-('Balance Sheet'!P23-'Balance Sheet'!O23)</f>
        <v>-317.888501919058</v>
      </c>
      <c r="P47" s="17">
        <f>-('Balance Sheet'!Q23-'Balance Sheet'!P23)</f>
        <v>-262.251007581754</v>
      </c>
      <c r="Q47" s="17">
        <f>-('Balance Sheet'!R23-'Balance Sheet'!Q23)</f>
        <v>-199.854594324081</v>
      </c>
    </row>
    <row r="48" ht="13.5" customHeight="1" spans="1:17">
      <c r="B48" s="213" t="s">
        <v>130</v>
      </c>
      <c r="C48" s="15"/>
      <c r="D48" s="15">
        <f>-('Balance Sheet'!E24-'Balance Sheet'!D24)</f>
        <v>-289</v>
      </c>
      <c r="E48" s="15">
        <f>-('Balance Sheet'!F24-'Balance Sheet'!E24)</f>
        <v>197</v>
      </c>
      <c r="F48" s="15">
        <f>-('Balance Sheet'!G24-'Balance Sheet'!F24)</f>
        <v>-592</v>
      </c>
      <c r="G48" s="15">
        <f>-('Balance Sheet'!H24-'Balance Sheet'!G24)</f>
        <v>-827</v>
      </c>
      <c r="H48" s="17">
        <f>-('Balance Sheet'!I24-'Balance Sheet'!H24)</f>
        <v>300.464262061211</v>
      </c>
      <c r="I48" s="17">
        <f>-('Balance Sheet'!J24-'Balance Sheet'!I24)</f>
        <v>-308.689025019316</v>
      </c>
      <c r="J48" s="17">
        <f>-('Balance Sheet'!K24-'Balance Sheet'!J24)</f>
        <v>-305.624624238887</v>
      </c>
      <c r="K48" s="17">
        <f>-('Balance Sheet'!L24-'Balance Sheet'!K24)</f>
        <v>-297.099507178158</v>
      </c>
      <c r="L48" s="17">
        <f>-('Balance Sheet'!M24-'Balance Sheet'!L24)</f>
        <v>-282.881528159883</v>
      </c>
      <c r="M48" s="17">
        <f>-('Balance Sheet'!N24-'Balance Sheet'!M24)</f>
        <v>-262.893141317083</v>
      </c>
      <c r="N48" s="17">
        <f>-('Balance Sheet'!O24-'Balance Sheet'!N24)</f>
        <v>-237.222894592155</v>
      </c>
      <c r="O48" s="17">
        <f>-('Balance Sheet'!P24-'Balance Sheet'!O24)</f>
        <v>-206.131750358319</v>
      </c>
      <c r="P48" s="17">
        <f>-('Balance Sheet'!Q24-'Balance Sheet'!P24)</f>
        <v>-170.054150746931</v>
      </c>
      <c r="Q48" s="17">
        <f>-('Balance Sheet'!R24-'Balance Sheet'!Q24)</f>
        <v>-129.593794983073</v>
      </c>
    </row>
    <row r="49" ht="13.5" customHeight="1" spans="1:17">
      <c r="B49" s="213"/>
      <c r="C49" s="15"/>
      <c r="D49" s="15"/>
      <c r="E49" s="15"/>
      <c r="F49" s="15"/>
      <c r="G49" s="15"/>
      <c r="H49" s="17"/>
      <c r="I49" s="17"/>
      <c r="J49" s="17"/>
      <c r="K49" s="17"/>
      <c r="L49" s="17"/>
      <c r="M49" s="17"/>
      <c r="N49" s="17"/>
      <c r="O49" s="17"/>
      <c r="P49" s="17"/>
      <c r="Q49" s="17"/>
    </row>
    <row r="50" s="1" customFormat="1" ht="13.5" customHeight="1" spans="1:17">
      <c r="A50" s="3"/>
      <c r="B50" s="218" t="s">
        <v>364</v>
      </c>
      <c r="C50" s="219"/>
      <c r="D50" s="219">
        <f t="shared" ref="D50:Q50" si="1">SUM(D36:D48)</f>
        <v>-8460</v>
      </c>
      <c r="E50" s="219">
        <f t="shared" si="1"/>
        <v>1875</v>
      </c>
      <c r="F50" s="219">
        <f t="shared" si="1"/>
        <v>-8234</v>
      </c>
      <c r="G50" s="219">
        <f t="shared" si="1"/>
        <v>-5576</v>
      </c>
      <c r="H50" s="219">
        <f ca="1" t="shared" si="1"/>
        <v>-14387.5449393783</v>
      </c>
      <c r="I50" s="219">
        <f ca="1" t="shared" si="1"/>
        <v>-6653.18860485461</v>
      </c>
      <c r="J50" s="219">
        <f ca="1" t="shared" si="1"/>
        <v>-6626.20798938806</v>
      </c>
      <c r="K50" s="219">
        <f ca="1" t="shared" si="1"/>
        <v>-6707.03507568616</v>
      </c>
      <c r="L50" s="219">
        <f ca="1" t="shared" si="1"/>
        <v>-6581.45115762581</v>
      </c>
      <c r="M50" s="219">
        <f ca="1" t="shared" si="1"/>
        <v>-6404.8538853875</v>
      </c>
      <c r="N50" s="219">
        <f ca="1" t="shared" si="1"/>
        <v>-6340.35260739358</v>
      </c>
      <c r="O50" s="219">
        <f ca="1" t="shared" si="1"/>
        <v>-6065.6013364438</v>
      </c>
      <c r="P50" s="219">
        <f ca="1" t="shared" si="1"/>
        <v>-5746.76733585622</v>
      </c>
      <c r="Q50" s="219">
        <f ca="1" t="shared" si="1"/>
        <v>-5558.00726566736</v>
      </c>
    </row>
    <row r="51" ht="13.5" customHeight="1" spans="1:17">
      <c r="B51" s="213"/>
      <c r="C51" s="15"/>
      <c r="D51" s="15"/>
      <c r="E51" s="15"/>
      <c r="F51" s="15"/>
      <c r="G51" s="15"/>
      <c r="H51" s="17"/>
      <c r="I51" s="17"/>
      <c r="J51" s="17"/>
      <c r="K51" s="17"/>
      <c r="L51" s="17"/>
      <c r="M51" s="17"/>
      <c r="N51" s="17"/>
      <c r="O51" s="17"/>
      <c r="P51" s="17"/>
      <c r="Q51" s="17"/>
    </row>
    <row r="52" s="208" customFormat="1" ht="13.5" customHeight="1" spans="1:17">
      <c r="A52" s="3"/>
      <c r="B52" s="214" t="s">
        <v>365</v>
      </c>
      <c r="C52" s="221"/>
      <c r="D52" s="221"/>
      <c r="E52" s="221"/>
      <c r="F52" s="221"/>
      <c r="G52" s="221"/>
      <c r="H52" s="222"/>
      <c r="I52" s="222"/>
      <c r="J52" s="222"/>
      <c r="K52" s="222"/>
      <c r="L52" s="222"/>
      <c r="M52" s="222"/>
      <c r="N52" s="222"/>
      <c r="O52" s="222"/>
      <c r="P52" s="222"/>
      <c r="Q52" s="222"/>
    </row>
    <row r="53" s="208" customFormat="1" ht="13.5" customHeight="1" spans="1:17">
      <c r="A53" s="3"/>
      <c r="B53" s="214"/>
      <c r="C53" s="221"/>
      <c r="D53" s="221"/>
      <c r="E53" s="221"/>
      <c r="F53" s="221"/>
      <c r="G53" s="221"/>
      <c r="H53" s="222"/>
      <c r="I53" s="222"/>
      <c r="J53" s="222"/>
      <c r="K53" s="222"/>
      <c r="L53" s="222"/>
      <c r="M53" s="222"/>
      <c r="N53" s="222"/>
      <c r="O53" s="222"/>
      <c r="P53" s="222"/>
      <c r="Q53" s="222"/>
    </row>
    <row r="54" ht="13.5" customHeight="1" spans="1:17">
      <c r="B54" s="214" t="s">
        <v>366</v>
      </c>
      <c r="C54" s="15"/>
      <c r="D54" s="15"/>
      <c r="E54" s="15"/>
      <c r="F54" s="15"/>
      <c r="G54" s="15"/>
      <c r="H54" s="17"/>
      <c r="I54" s="17"/>
      <c r="J54" s="17"/>
      <c r="K54" s="17"/>
      <c r="L54" s="17"/>
      <c r="M54" s="17"/>
      <c r="N54" s="17"/>
      <c r="O54" s="17"/>
      <c r="P54" s="17"/>
      <c r="Q54" s="17"/>
    </row>
    <row r="55" ht="13.5" customHeight="1" spans="1:17">
      <c r="B55" s="213" t="s">
        <v>146</v>
      </c>
      <c r="C55" s="15"/>
      <c r="D55" s="15">
        <f>'Balance Sheet'!E53-'Balance Sheet'!D53</f>
        <v>2455</v>
      </c>
      <c r="E55" s="15">
        <f>'Balance Sheet'!F53-'Balance Sheet'!E53</f>
        <v>-657</v>
      </c>
      <c r="F55" s="15">
        <f>'Balance Sheet'!G53-'Balance Sheet'!F53</f>
        <v>-628</v>
      </c>
      <c r="G55" s="15">
        <f>'Balance Sheet'!H53-'Balance Sheet'!G53</f>
        <v>244</v>
      </c>
      <c r="H55" s="17">
        <f>'Balance Sheet'!I53-'Balance Sheet'!H53</f>
        <v>1683.83160095518</v>
      </c>
      <c r="I55" s="17">
        <f>'Balance Sheet'!J53-'Balance Sheet'!I53</f>
        <v>733.701894958594</v>
      </c>
      <c r="J55" s="17">
        <f>'Balance Sheet'!K53-'Balance Sheet'!J53</f>
        <v>726.418329696198</v>
      </c>
      <c r="K55" s="17">
        <f>'Balance Sheet'!L53-'Balance Sheet'!K53</f>
        <v>706.15556025757</v>
      </c>
      <c r="L55" s="17">
        <f>'Balance Sheet'!M53-'Balance Sheet'!L53</f>
        <v>672.361815411808</v>
      </c>
      <c r="M55" s="17">
        <f>'Balance Sheet'!N53-'Balance Sheet'!M53</f>
        <v>624.852781675318</v>
      </c>
      <c r="N55" s="17">
        <f>'Balance Sheet'!O53-'Balance Sheet'!N53</f>
        <v>563.838922614548</v>
      </c>
      <c r="O55" s="17">
        <f>'Balance Sheet'!P53-'Balance Sheet'!O53</f>
        <v>489.940501900144</v>
      </c>
      <c r="P55" s="17">
        <f>'Balance Sheet'!Q53-'Balance Sheet'!P53</f>
        <v>404.190115410776</v>
      </c>
      <c r="Q55" s="17">
        <f>'Balance Sheet'!R53-'Balance Sheet'!Q53</f>
        <v>308.02265467004</v>
      </c>
    </row>
    <row r="56" ht="13.5" customHeight="1" spans="1:17">
      <c r="B56" s="213" t="s">
        <v>367</v>
      </c>
      <c r="C56" s="15"/>
      <c r="D56" s="15">
        <f>('Balance Sheet'!E54+'Balance Sheet'!E55)-('Balance Sheet'!D54+'Balance Sheet'!D55)</f>
        <v>-230</v>
      </c>
      <c r="E56" s="15">
        <f>('Balance Sheet'!F54+'Balance Sheet'!F55)-('Balance Sheet'!E54+'Balance Sheet'!E55)</f>
        <v>-193</v>
      </c>
      <c r="F56" s="15">
        <f>('Balance Sheet'!G54+'Balance Sheet'!G55)-('Balance Sheet'!F54+'Balance Sheet'!F55)</f>
        <v>-9</v>
      </c>
      <c r="G56" s="15">
        <f>('Balance Sheet'!H54+'Balance Sheet'!H55)-('Balance Sheet'!G54+'Balance Sheet'!G55)</f>
        <v>297</v>
      </c>
      <c r="H56" s="17">
        <f>('Balance Sheet'!I54+'Balance Sheet'!I55)-('Balance Sheet'!H54+'Balance Sheet'!H55)</f>
        <v>676.881445660602</v>
      </c>
      <c r="I56" s="17">
        <f>('Balance Sheet'!J54+'Balance Sheet'!J55)-('Balance Sheet'!I54+'Balance Sheet'!I55)</f>
        <v>317.297890822128</v>
      </c>
      <c r="J56" s="17">
        <f>('Balance Sheet'!K54+'Balance Sheet'!K55)-('Balance Sheet'!J54+'Balance Sheet'!J55)</f>
        <v>314.14802858066</v>
      </c>
      <c r="K56" s="17">
        <f>('Balance Sheet'!L54+'Balance Sheet'!L55)-('Balance Sheet'!K54+'Balance Sheet'!K55)</f>
        <v>305.385159015693</v>
      </c>
      <c r="L56" s="17">
        <f>('Balance Sheet'!M54+'Balance Sheet'!M55)-('Balance Sheet'!L54+'Balance Sheet'!L55)</f>
        <v>290.77066226133</v>
      </c>
      <c r="M56" s="17">
        <f>('Balance Sheet'!N54+'Balance Sheet'!N55)-('Balance Sheet'!M54+'Balance Sheet'!M55)</f>
        <v>270.224829814712</v>
      </c>
      <c r="N56" s="17">
        <f>('Balance Sheet'!O54+'Balance Sheet'!O55)-('Balance Sheet'!N54+'Balance Sheet'!N55)</f>
        <v>243.838679085207</v>
      </c>
      <c r="O56" s="17">
        <f>('Balance Sheet'!P54+'Balance Sheet'!P55)-('Balance Sheet'!O54+'Balance Sheet'!O55)</f>
        <v>211.880450288362</v>
      </c>
      <c r="P56" s="17">
        <f>('Balance Sheet'!Q54+'Balance Sheet'!Q55)-('Balance Sheet'!P54+'Balance Sheet'!P55)</f>
        <v>174.796701483549</v>
      </c>
      <c r="Q56" s="17">
        <f>('Balance Sheet'!R54+'Balance Sheet'!R55)-('Balance Sheet'!Q54+'Balance Sheet'!Q55)</f>
        <v>133.207968145908</v>
      </c>
    </row>
    <row r="57" ht="13.5" customHeight="1" spans="1:17">
      <c r="B57" s="213" t="s">
        <v>156</v>
      </c>
      <c r="C57" s="223"/>
      <c r="D57" s="223">
        <v>0</v>
      </c>
      <c r="E57" s="223">
        <v>0</v>
      </c>
      <c r="F57" s="223">
        <v>0</v>
      </c>
      <c r="G57" s="223">
        <v>0</v>
      </c>
      <c r="H57" s="224">
        <v>0</v>
      </c>
      <c r="I57" s="224">
        <v>0</v>
      </c>
      <c r="J57" s="224">
        <v>0</v>
      </c>
      <c r="K57" s="224">
        <v>0</v>
      </c>
      <c r="L57" s="224">
        <v>0</v>
      </c>
      <c r="M57" s="224">
        <v>0</v>
      </c>
      <c r="N57" s="224">
        <v>0</v>
      </c>
      <c r="O57" s="224">
        <v>0</v>
      </c>
      <c r="P57" s="224">
        <v>0</v>
      </c>
      <c r="Q57" s="224">
        <v>0</v>
      </c>
    </row>
    <row r="58" ht="13.5" customHeight="1" spans="1:17">
      <c r="A58" s="1"/>
      <c r="B58" s="213" t="s">
        <v>231</v>
      </c>
      <c r="C58" s="15"/>
      <c r="D58" s="15">
        <f>'Balance Sheet'!E56-'Balance Sheet'!D56</f>
        <v>64</v>
      </c>
      <c r="E58" s="15">
        <f>'Balance Sheet'!F56-'Balance Sheet'!E56</f>
        <v>574</v>
      </c>
      <c r="F58" s="15">
        <f>'Balance Sheet'!G56-'Balance Sheet'!F56</f>
        <v>-72</v>
      </c>
      <c r="G58" s="15">
        <f>'Balance Sheet'!H56-'Balance Sheet'!G56</f>
        <v>-43</v>
      </c>
      <c r="H58" s="17">
        <f>'Balance Sheet'!I56-'Balance Sheet'!H56</f>
        <v>257.341447024927</v>
      </c>
      <c r="I58" s="17">
        <f>'Balance Sheet'!J56-'Balance Sheet'!I56</f>
        <v>184.510189650487</v>
      </c>
      <c r="J58" s="17">
        <f>'Balance Sheet'!K56-'Balance Sheet'!J56</f>
        <v>182.678530202515</v>
      </c>
      <c r="K58" s="17">
        <f>'Balance Sheet'!L56-'Balance Sheet'!K56</f>
        <v>177.582881059921</v>
      </c>
      <c r="L58" s="17">
        <f>'Balance Sheet'!M56-'Balance Sheet'!L56</f>
        <v>169.084483668098</v>
      </c>
      <c r="M58" s="17">
        <f>'Balance Sheet'!N56-'Balance Sheet'!M56</f>
        <v>157.136987164322</v>
      </c>
      <c r="N58" s="17">
        <f>'Balance Sheet'!O56-'Balance Sheet'!N56</f>
        <v>141.793318592707</v>
      </c>
      <c r="O58" s="17">
        <f>'Balance Sheet'!P56-'Balance Sheet'!O56</f>
        <v>123.209460878048</v>
      </c>
      <c r="P58" s="17">
        <f>'Balance Sheet'!Q56-'Balance Sheet'!P56</f>
        <v>101.645089595282</v>
      </c>
      <c r="Q58" s="17">
        <f>'Balance Sheet'!R56-'Balance Sheet'!Q56</f>
        <v>77.4610489905072</v>
      </c>
    </row>
    <row r="59" ht="13.5" customHeight="1" spans="1:17">
      <c r="B59" s="213" t="s">
        <v>368</v>
      </c>
      <c r="C59" s="15"/>
      <c r="D59" s="15">
        <f>('Balance Sheet'!E46-'Balance Sheet'!D46)-'Income Statement'!D44</f>
        <v>-24022</v>
      </c>
      <c r="E59" s="15">
        <f>('Balance Sheet'!F46-'Balance Sheet'!E46)-'Income Statement'!E44</f>
        <v>-13541</v>
      </c>
      <c r="F59" s="15">
        <f>('Balance Sheet'!G46-'Balance Sheet'!F46)-'Income Statement'!F44</f>
        <v>-19050</v>
      </c>
      <c r="G59" s="15">
        <f>('Balance Sheet'!H46-'Balance Sheet'!G46)-'Income Statement'!G44</f>
        <v>-32391</v>
      </c>
      <c r="H59" s="17">
        <f ca="1">('Balance Sheet'!I46-'Balance Sheet'!H46)-'Income Statement'!H44</f>
        <v>-31859.2719958982</v>
      </c>
      <c r="I59" s="17">
        <f ca="1">('Balance Sheet'!J46-'Balance Sheet'!I46)-'Income Statement'!I44</f>
        <v>-34891.5320141307</v>
      </c>
      <c r="J59" s="17">
        <f ca="1">('Balance Sheet'!K46-'Balance Sheet'!J46)-'Income Statement'!J44</f>
        <v>-37866.5669063792</v>
      </c>
      <c r="K59" s="17">
        <f ca="1">('Balance Sheet'!L46-'Balance Sheet'!K46)-'Income Statement'!K44</f>
        <v>-40671.3715737044</v>
      </c>
      <c r="L59" s="17">
        <f ca="1">('Balance Sheet'!M46-'Balance Sheet'!L46)-'Income Statement'!L44</f>
        <v>-43365.4692910479</v>
      </c>
      <c r="M59" s="17">
        <f ca="1">('Balance Sheet'!N46-'Balance Sheet'!M46)-'Income Statement'!M44</f>
        <v>-45834.3608416063</v>
      </c>
      <c r="N59" s="17">
        <f ca="1">('Balance Sheet'!O46-'Balance Sheet'!N46)-'Income Statement'!N44</f>
        <v>-47964.0771194402</v>
      </c>
      <c r="O59" s="17">
        <f ca="1">('Balance Sheet'!P46-'Balance Sheet'!O46)-'Income Statement'!O44</f>
        <v>-49822.886706191</v>
      </c>
      <c r="P59" s="17">
        <f ca="1">('Balance Sheet'!Q46-'Balance Sheet'!P46)-'Income Statement'!P44</f>
        <v>-51305.3693080422</v>
      </c>
      <c r="Q59" s="17">
        <f ca="1">('Balance Sheet'!R46-'Balance Sheet'!Q46)-'Income Statement'!Q44</f>
        <v>-52311.5728445478</v>
      </c>
    </row>
    <row r="60" ht="13.5" customHeight="1" spans="1:17">
      <c r="B60" s="213" t="s">
        <v>369</v>
      </c>
      <c r="C60" s="15"/>
      <c r="D60" s="15">
        <f>'Balance Sheet'!E47-'Balance Sheet'!D47</f>
        <v>2</v>
      </c>
      <c r="E60" s="15">
        <f>'Balance Sheet'!F47-'Balance Sheet'!E47</f>
        <v>-43</v>
      </c>
      <c r="F60" s="15">
        <f>'Balance Sheet'!G47-'Balance Sheet'!F47</f>
        <v>40</v>
      </c>
      <c r="G60" s="15">
        <f>'Balance Sheet'!H47-'Balance Sheet'!G47</f>
        <v>60</v>
      </c>
      <c r="H60" s="17">
        <f>'Balance Sheet'!I47-'Balance Sheet'!H47</f>
        <v>0</v>
      </c>
      <c r="I60" s="17">
        <f>'Balance Sheet'!J47-'Balance Sheet'!I47</f>
        <v>0</v>
      </c>
      <c r="J60" s="17">
        <f>'Balance Sheet'!K47-'Balance Sheet'!J47</f>
        <v>0</v>
      </c>
      <c r="K60" s="17">
        <f>'Balance Sheet'!L47-'Balance Sheet'!K47</f>
        <v>0</v>
      </c>
      <c r="L60" s="17">
        <f>'Balance Sheet'!M47-'Balance Sheet'!L47</f>
        <v>0</v>
      </c>
      <c r="M60" s="17">
        <f>'Balance Sheet'!N47-'Balance Sheet'!M47</f>
        <v>0</v>
      </c>
      <c r="N60" s="17">
        <f>'Balance Sheet'!O47-'Balance Sheet'!N47</f>
        <v>0</v>
      </c>
      <c r="O60" s="17">
        <f>'Balance Sheet'!P47-'Balance Sheet'!O47</f>
        <v>0</v>
      </c>
      <c r="P60" s="17">
        <f>'Balance Sheet'!Q47-'Balance Sheet'!P47</f>
        <v>0</v>
      </c>
      <c r="Q60" s="17">
        <f>'Balance Sheet'!R47-'Balance Sheet'!Q47</f>
        <v>0</v>
      </c>
    </row>
    <row r="61" ht="13.5" customHeight="1" spans="1:17">
      <c r="B61" s="213" t="s">
        <v>370</v>
      </c>
      <c r="C61" s="15"/>
      <c r="D61" s="15">
        <f>'Balance Sheet'!E45-'Balance Sheet'!D45</f>
        <v>-29</v>
      </c>
      <c r="E61" s="15">
        <f>'Balance Sheet'!F45-'Balance Sheet'!E45</f>
        <v>2</v>
      </c>
      <c r="F61" s="15">
        <f>'Balance Sheet'!G45-'Balance Sheet'!F45</f>
        <v>2</v>
      </c>
      <c r="G61" s="15">
        <f>'Balance Sheet'!H45-'Balance Sheet'!G45</f>
        <v>-49</v>
      </c>
      <c r="H61" s="17">
        <f>'Balance Sheet'!I45-'Balance Sheet'!H45</f>
        <v>0</v>
      </c>
      <c r="I61" s="17">
        <f>'Balance Sheet'!J45-'Balance Sheet'!I45</f>
        <v>0</v>
      </c>
      <c r="J61" s="17">
        <f>'Balance Sheet'!K45-'Balance Sheet'!J45</f>
        <v>0</v>
      </c>
      <c r="K61" s="17">
        <f>'Balance Sheet'!L45-'Balance Sheet'!K45</f>
        <v>0</v>
      </c>
      <c r="L61" s="17">
        <f>'Balance Sheet'!M45-'Balance Sheet'!L45</f>
        <v>0</v>
      </c>
      <c r="M61" s="17">
        <f>'Balance Sheet'!N45-'Balance Sheet'!M45</f>
        <v>0</v>
      </c>
      <c r="N61" s="17">
        <f>'Balance Sheet'!O45-'Balance Sheet'!N45</f>
        <v>0</v>
      </c>
      <c r="O61" s="17">
        <f>'Balance Sheet'!P45-'Balance Sheet'!O45</f>
        <v>0</v>
      </c>
      <c r="P61" s="17">
        <f>'Balance Sheet'!Q45-'Balance Sheet'!P45</f>
        <v>0</v>
      </c>
      <c r="Q61" s="17">
        <f>'Balance Sheet'!R45-'Balance Sheet'!Q45</f>
        <v>0</v>
      </c>
    </row>
    <row r="62" ht="13.5" customHeight="1" spans="1:17">
      <c r="B62" s="217" t="s">
        <v>356</v>
      </c>
      <c r="C62" s="15"/>
      <c r="D62" s="15"/>
      <c r="E62" s="15"/>
      <c r="F62" s="15"/>
      <c r="G62" s="15"/>
      <c r="H62" s="17"/>
      <c r="I62" s="17"/>
      <c r="J62" s="17"/>
      <c r="K62" s="17"/>
      <c r="L62" s="17"/>
      <c r="M62" s="17"/>
      <c r="N62" s="17"/>
      <c r="O62" s="17"/>
      <c r="P62" s="17"/>
      <c r="Q62" s="17"/>
    </row>
    <row r="63" ht="13.5" customHeight="1" spans="1:17">
      <c r="A63" s="1"/>
      <c r="B63" s="213" t="s">
        <v>371</v>
      </c>
      <c r="C63" s="15"/>
      <c r="D63" s="15">
        <f>-'Income Statement'!D34</f>
        <v>-284</v>
      </c>
      <c r="E63" s="15">
        <f>-'Income Statement'!E34</f>
        <v>-470</v>
      </c>
      <c r="F63" s="15">
        <f>-'Income Statement'!F34</f>
        <v>-416</v>
      </c>
      <c r="G63" s="15">
        <f>-'Income Statement'!G34</f>
        <v>-416</v>
      </c>
      <c r="H63" s="17">
        <f>-'Income Statement'!H34</f>
        <v>-8727.00508502663</v>
      </c>
      <c r="I63" s="17">
        <f>-'Income Statement'!I34</f>
        <v>-9558.58433247446</v>
      </c>
      <c r="J63" s="17">
        <f>-'Income Statement'!J34</f>
        <v>-10381.9083719676</v>
      </c>
      <c r="K63" s="17">
        <f>-'Income Statement'!K34</f>
        <v>-11182.2665466091</v>
      </c>
      <c r="L63" s="17">
        <f>-'Income Statement'!L34</f>
        <v>-11944.3228208462</v>
      </c>
      <c r="M63" s="17">
        <f>-'Income Statement'!M34</f>
        <v>-12652.5322578418</v>
      </c>
      <c r="N63" s="17">
        <f>-'Income Statement'!N34</f>
        <v>-13291.5884606012</v>
      </c>
      <c r="O63" s="17">
        <f>-'Income Statement'!O34</f>
        <v>-13846.8880402586</v>
      </c>
      <c r="P63" s="17">
        <f>-'Income Statement'!P34</f>
        <v>-14304.9979542559</v>
      </c>
      <c r="Q63" s="17">
        <f>-'Income Statement'!Q34</f>
        <v>-14654.1114690599</v>
      </c>
    </row>
    <row r="64" ht="13.5" customHeight="1" spans="1:17">
      <c r="B64" s="213"/>
      <c r="C64" s="15"/>
      <c r="D64" s="15"/>
      <c r="E64" s="15"/>
      <c r="F64" s="15"/>
      <c r="G64" s="15"/>
      <c r="H64" s="17"/>
      <c r="I64" s="17"/>
      <c r="J64" s="17"/>
      <c r="K64" s="17"/>
      <c r="L64" s="17"/>
      <c r="M64" s="17"/>
      <c r="N64" s="17"/>
      <c r="O64" s="17"/>
      <c r="P64" s="17"/>
      <c r="Q64" s="17"/>
    </row>
    <row r="65" s="1" customFormat="1" ht="13.5" customHeight="1" spans="1:17">
      <c r="A65" s="225"/>
      <c r="B65" s="218" t="s">
        <v>372</v>
      </c>
      <c r="C65" s="219"/>
      <c r="D65" s="219">
        <f t="shared" ref="D65:Q65" si="2">SUM(D52:D63)</f>
        <v>-22044</v>
      </c>
      <c r="E65" s="219">
        <f t="shared" si="2"/>
        <v>-14328</v>
      </c>
      <c r="F65" s="219">
        <f t="shared" si="2"/>
        <v>-20133</v>
      </c>
      <c r="G65" s="219">
        <f t="shared" si="2"/>
        <v>-32298</v>
      </c>
      <c r="H65" s="219">
        <f ca="1" t="shared" si="2"/>
        <v>-37968.2225872842</v>
      </c>
      <c r="I65" s="219">
        <f ca="1" t="shared" si="2"/>
        <v>-43214.606371174</v>
      </c>
      <c r="J65" s="219">
        <f ca="1" t="shared" si="2"/>
        <v>-47025.2303898674</v>
      </c>
      <c r="K65" s="219">
        <f ca="1" t="shared" si="2"/>
        <v>-50664.5145199804</v>
      </c>
      <c r="L65" s="219">
        <f ca="1" t="shared" si="2"/>
        <v>-54177.5751505529</v>
      </c>
      <c r="M65" s="219">
        <f ca="1" t="shared" si="2"/>
        <v>-57434.6785007938</v>
      </c>
      <c r="N65" s="219">
        <f ca="1" t="shared" si="2"/>
        <v>-60306.194659749</v>
      </c>
      <c r="O65" s="219">
        <f ca="1" t="shared" si="2"/>
        <v>-62844.744333383</v>
      </c>
      <c r="P65" s="219">
        <f ca="1" t="shared" si="2"/>
        <v>-64929.7353558085</v>
      </c>
      <c r="Q65" s="219">
        <f ca="1" t="shared" si="2"/>
        <v>-66446.9926418012</v>
      </c>
    </row>
    <row r="66" ht="13.5" customHeight="1" spans="1:17">
      <c r="B66" s="226" t="s">
        <v>373</v>
      </c>
      <c r="C66" s="227"/>
      <c r="D66" s="227"/>
      <c r="E66" s="227"/>
      <c r="F66" s="227"/>
      <c r="G66" s="227"/>
      <c r="H66" s="227"/>
      <c r="I66" s="227"/>
      <c r="J66" s="227"/>
      <c r="K66" s="227"/>
      <c r="L66" s="227"/>
      <c r="M66" s="227"/>
      <c r="N66" s="227"/>
      <c r="O66" s="227"/>
      <c r="P66" s="227"/>
      <c r="Q66" s="227"/>
    </row>
    <row r="67" ht="13.5" customHeight="1" spans="1:17">
      <c r="B67" s="226" t="s">
        <v>374</v>
      </c>
      <c r="C67" s="227"/>
      <c r="D67" s="227">
        <f t="shared" ref="D67:Q67" si="3">D34+D50+D65+D66</f>
        <v>-5299</v>
      </c>
      <c r="E67" s="227">
        <f t="shared" si="3"/>
        <v>2613</v>
      </c>
      <c r="F67" s="227">
        <f t="shared" si="3"/>
        <v>9669</v>
      </c>
      <c r="G67" s="227">
        <f t="shared" si="3"/>
        <v>-2254</v>
      </c>
      <c r="H67" s="227">
        <f ca="1" t="shared" si="3"/>
        <v>5390.98593668301</v>
      </c>
      <c r="I67" s="227">
        <f ca="1" t="shared" si="3"/>
        <v>13604.3241649077</v>
      </c>
      <c r="J67" s="227">
        <f ca="1" t="shared" si="3"/>
        <v>15268.2203980833</v>
      </c>
      <c r="K67" s="227">
        <f ca="1" t="shared" si="3"/>
        <v>16887.0900146093</v>
      </c>
      <c r="L67" s="227">
        <f ca="1" t="shared" si="3"/>
        <v>18562.2177692812</v>
      </c>
      <c r="M67" s="227">
        <f ca="1" t="shared" si="3"/>
        <v>20199.6986482522</v>
      </c>
      <c r="N67" s="227">
        <f ca="1" t="shared" si="3"/>
        <v>21702.162696335</v>
      </c>
      <c r="O67" s="227">
        <f ca="1" t="shared" si="3"/>
        <v>23171.0173103089</v>
      </c>
      <c r="P67" s="227">
        <f ca="1" t="shared" si="3"/>
        <v>24508.4551650274</v>
      </c>
      <c r="Q67" s="227">
        <f ca="1" t="shared" si="3"/>
        <v>25615.7922244952</v>
      </c>
    </row>
    <row r="68" ht="13.5" customHeight="1" spans="1:17">
      <c r="B68" s="228" t="s">
        <v>375</v>
      </c>
      <c r="C68" s="227"/>
      <c r="D68" s="227">
        <f>'Balance Sheet'!D32</f>
        <v>17472</v>
      </c>
      <c r="E68" s="227">
        <f t="shared" ref="E68:Q68" si="4">D69</f>
        <v>12173</v>
      </c>
      <c r="F68" s="227">
        <f t="shared" si="4"/>
        <v>14786</v>
      </c>
      <c r="G68" s="227">
        <f t="shared" si="4"/>
        <v>24455</v>
      </c>
      <c r="H68" s="227">
        <f t="shared" si="4"/>
        <v>22201</v>
      </c>
      <c r="I68" s="227">
        <f ca="1" t="shared" si="4"/>
        <v>27591.985936683</v>
      </c>
      <c r="J68" s="227">
        <f ca="1" t="shared" si="4"/>
        <v>41196.3101015907</v>
      </c>
      <c r="K68" s="227">
        <f ca="1" t="shared" si="4"/>
        <v>56464.530499674</v>
      </c>
      <c r="L68" s="227">
        <f ca="1" t="shared" si="4"/>
        <v>73351.6205142833</v>
      </c>
      <c r="M68" s="227">
        <f ca="1" t="shared" si="4"/>
        <v>91913.8382835645</v>
      </c>
      <c r="N68" s="227">
        <f ca="1" t="shared" si="4"/>
        <v>112113.536931817</v>
      </c>
      <c r="O68" s="227">
        <f ca="1" t="shared" si="4"/>
        <v>133815.699628152</v>
      </c>
      <c r="P68" s="227">
        <f ca="1" t="shared" si="4"/>
        <v>156986.716938461</v>
      </c>
      <c r="Q68" s="227">
        <f ca="1" t="shared" si="4"/>
        <v>181495.172103488</v>
      </c>
    </row>
    <row r="69" s="1" customFormat="1" ht="14.25" customHeight="1" spans="1:17">
      <c r="A69" s="3"/>
      <c r="B69" s="226" t="s">
        <v>376</v>
      </c>
      <c r="C69" s="229"/>
      <c r="D69" s="229">
        <f t="shared" ref="D69:Q69" si="5">D67+D68</f>
        <v>12173</v>
      </c>
      <c r="E69" s="229">
        <f t="shared" si="5"/>
        <v>14786</v>
      </c>
      <c r="F69" s="229">
        <f t="shared" si="5"/>
        <v>24455</v>
      </c>
      <c r="G69" s="229">
        <f t="shared" si="5"/>
        <v>22201</v>
      </c>
      <c r="H69" s="229">
        <f ca="1" t="shared" si="5"/>
        <v>27591.985936683</v>
      </c>
      <c r="I69" s="229">
        <f ca="1" t="shared" si="5"/>
        <v>41196.3101015907</v>
      </c>
      <c r="J69" s="229">
        <f ca="1" t="shared" si="5"/>
        <v>56464.530499674</v>
      </c>
      <c r="K69" s="229">
        <f ca="1" t="shared" si="5"/>
        <v>73351.6205142833</v>
      </c>
      <c r="L69" s="229">
        <f ca="1" t="shared" si="5"/>
        <v>91913.8382835645</v>
      </c>
      <c r="M69" s="229">
        <f ca="1" t="shared" si="5"/>
        <v>112113.536931817</v>
      </c>
      <c r="N69" s="229">
        <f ca="1" t="shared" si="5"/>
        <v>133815.699628152</v>
      </c>
      <c r="O69" s="229">
        <f ca="1" t="shared" si="5"/>
        <v>156986.716938461</v>
      </c>
      <c r="P69" s="229">
        <f ca="1" t="shared" si="5"/>
        <v>181495.172103488</v>
      </c>
      <c r="Q69" s="229">
        <f ca="1" t="shared" si="5"/>
        <v>207110.964327983</v>
      </c>
    </row>
    <row r="70" ht="14.25" customHeight="1"/>
    <row r="71" ht="13.5" customHeight="1" spans="1:17">
      <c r="B71" s="230" t="s">
        <v>377</v>
      </c>
      <c r="E71" s="25"/>
      <c r="F71" s="25"/>
      <c r="G71" s="25"/>
      <c r="H71" s="25"/>
      <c r="I71" s="25"/>
      <c r="J71" s="25"/>
      <c r="K71" s="25"/>
      <c r="L71" s="25"/>
      <c r="M71" s="25"/>
      <c r="N71" s="25"/>
      <c r="O71" s="25"/>
      <c r="P71" s="25"/>
      <c r="Q71" s="25"/>
    </row>
    <row r="72" ht="13.5" customHeight="1" spans="1:17">
      <c r="B72" s="213" t="s">
        <v>133</v>
      </c>
      <c r="D72" s="15">
        <f t="shared" ref="D72:Q72" si="6">D30</f>
        <v>-2726</v>
      </c>
      <c r="E72" s="15">
        <f t="shared" si="6"/>
        <v>-4769</v>
      </c>
      <c r="F72" s="15">
        <f t="shared" si="6"/>
        <v>-965</v>
      </c>
      <c r="G72" s="15">
        <f t="shared" si="6"/>
        <v>-4076</v>
      </c>
      <c r="H72" s="15">
        <f t="shared" si="6"/>
        <v>-924.373509770092</v>
      </c>
      <c r="I72" s="15">
        <f t="shared" si="6"/>
        <v>-3445.46069805577</v>
      </c>
      <c r="J72" s="15">
        <f t="shared" si="6"/>
        <v>-3411.25710934251</v>
      </c>
      <c r="K72" s="15">
        <f t="shared" si="6"/>
        <v>-3316.10323797559</v>
      </c>
      <c r="L72" s="15">
        <f t="shared" si="6"/>
        <v>-3157.40796881212</v>
      </c>
      <c r="M72" s="15">
        <f t="shared" si="6"/>
        <v>-2934.30576658744</v>
      </c>
      <c r="N72" s="15">
        <f t="shared" si="6"/>
        <v>-2647.7849672341</v>
      </c>
      <c r="O72" s="15">
        <f t="shared" si="6"/>
        <v>-2300.75832607457</v>
      </c>
      <c r="P72" s="15">
        <f t="shared" si="6"/>
        <v>-1898.07490856903</v>
      </c>
      <c r="Q72" s="15">
        <f t="shared" si="6"/>
        <v>-1446.47295866167</v>
      </c>
    </row>
    <row r="73" spans="1:17">
      <c r="B73" s="213" t="s">
        <v>153</v>
      </c>
      <c r="D73" s="15">
        <f t="shared" ref="D73:Q73" si="7">D19</f>
        <v>-269</v>
      </c>
      <c r="E73" s="15">
        <f t="shared" si="7"/>
        <v>91</v>
      </c>
      <c r="F73" s="15">
        <f t="shared" si="7"/>
        <v>208</v>
      </c>
      <c r="G73" s="15">
        <f t="shared" si="7"/>
        <v>580</v>
      </c>
      <c r="H73" s="15">
        <f t="shared" si="7"/>
        <v>546.392722354602</v>
      </c>
      <c r="I73" s="15">
        <f t="shared" si="7"/>
        <v>504.111176273675</v>
      </c>
      <c r="J73" s="15">
        <f t="shared" si="7"/>
        <v>499.106791417752</v>
      </c>
      <c r="K73" s="15">
        <f t="shared" si="7"/>
        <v>485.184667723571</v>
      </c>
      <c r="L73" s="15">
        <f t="shared" si="7"/>
        <v>461.965694756557</v>
      </c>
      <c r="M73" s="15">
        <f t="shared" si="7"/>
        <v>429.323234589709</v>
      </c>
      <c r="N73" s="15">
        <f t="shared" si="7"/>
        <v>387.401892323233</v>
      </c>
      <c r="O73" s="15">
        <f t="shared" si="7"/>
        <v>336.627838109829</v>
      </c>
      <c r="P73" s="15">
        <f t="shared" si="7"/>
        <v>277.710546910088</v>
      </c>
      <c r="Q73" s="15">
        <f t="shared" si="7"/>
        <v>211.635902580594</v>
      </c>
    </row>
    <row r="74" ht="13.5" customHeight="1" spans="1:17">
      <c r="B74" s="213" t="s">
        <v>156</v>
      </c>
      <c r="C74" s="231"/>
      <c r="D74" s="15">
        <f t="shared" ref="D74:Q74" si="8">D22</f>
        <v>332</v>
      </c>
      <c r="E74" s="15">
        <f t="shared" si="8"/>
        <v>489</v>
      </c>
      <c r="F74" s="15">
        <f t="shared" si="8"/>
        <v>-321</v>
      </c>
      <c r="G74" s="15">
        <f t="shared" si="8"/>
        <v>37</v>
      </c>
      <c r="H74" s="15">
        <f t="shared" si="8"/>
        <v>293.861689932634</v>
      </c>
      <c r="I74" s="15">
        <f t="shared" si="8"/>
        <v>172.077028771946</v>
      </c>
      <c r="J74" s="15">
        <f t="shared" si="8"/>
        <v>170.368795117608</v>
      </c>
      <c r="K74" s="15">
        <f t="shared" si="8"/>
        <v>165.616514683759</v>
      </c>
      <c r="L74" s="15">
        <f t="shared" si="8"/>
        <v>157.690779117184</v>
      </c>
      <c r="M74" s="15">
        <f t="shared" si="8"/>
        <v>146.548360893415</v>
      </c>
      <c r="N74" s="15">
        <f t="shared" si="8"/>
        <v>132.238620584402</v>
      </c>
      <c r="O74" s="15">
        <f t="shared" si="8"/>
        <v>114.907030254803</v>
      </c>
      <c r="P74" s="15">
        <f t="shared" si="8"/>
        <v>94.7957673229143</v>
      </c>
      <c r="Q74" s="15">
        <f t="shared" si="8"/>
        <v>72.2413606592345</v>
      </c>
    </row>
    <row r="75" spans="1:17">
      <c r="B75" s="213" t="s">
        <v>378</v>
      </c>
      <c r="D75" s="15">
        <f t="shared" ref="D75:Q75" si="9">D20+D21</f>
        <v>4373</v>
      </c>
      <c r="E75" s="15">
        <f t="shared" si="9"/>
        <v>-1890</v>
      </c>
      <c r="F75" s="15">
        <f t="shared" si="9"/>
        <v>2405</v>
      </c>
      <c r="G75" s="15">
        <f t="shared" si="9"/>
        <v>7359</v>
      </c>
      <c r="H75" s="15">
        <f t="shared" si="9"/>
        <v>986.870342475666</v>
      </c>
      <c r="I75" s="15">
        <f t="shared" si="9"/>
        <v>3644.66005293137</v>
      </c>
      <c r="J75" s="15">
        <f t="shared" si="9"/>
        <v>3608.47898329373</v>
      </c>
      <c r="K75" s="15">
        <f t="shared" si="9"/>
        <v>3507.82378962151</v>
      </c>
      <c r="L75" s="15">
        <f t="shared" si="9"/>
        <v>3339.95355141631</v>
      </c>
      <c r="M75" s="15">
        <f t="shared" si="9"/>
        <v>3103.95269248092</v>
      </c>
      <c r="N75" s="15">
        <f t="shared" si="9"/>
        <v>2800.86668940262</v>
      </c>
      <c r="O75" s="15">
        <f t="shared" si="9"/>
        <v>2433.77669849058</v>
      </c>
      <c r="P75" s="15">
        <f t="shared" si="9"/>
        <v>2007.81213398736</v>
      </c>
      <c r="Q75" s="15">
        <f t="shared" si="9"/>
        <v>1530.100811498</v>
      </c>
    </row>
    <row r="76" spans="1:17">
      <c r="B76" s="213" t="s">
        <v>379</v>
      </c>
      <c r="D76" s="15">
        <f t="shared" ref="D76:Q76" si="10">D56</f>
        <v>-230</v>
      </c>
      <c r="E76" s="15">
        <f t="shared" si="10"/>
        <v>-193</v>
      </c>
      <c r="F76" s="15">
        <f t="shared" si="10"/>
        <v>-9</v>
      </c>
      <c r="G76" s="15">
        <f t="shared" si="10"/>
        <v>297</v>
      </c>
      <c r="H76" s="15">
        <f t="shared" si="10"/>
        <v>676.881445660602</v>
      </c>
      <c r="I76" s="15">
        <f t="shared" si="10"/>
        <v>317.297890822128</v>
      </c>
      <c r="J76" s="15">
        <f t="shared" si="10"/>
        <v>314.14802858066</v>
      </c>
      <c r="K76" s="15">
        <f t="shared" si="10"/>
        <v>305.385159015693</v>
      </c>
      <c r="L76" s="15">
        <f t="shared" si="10"/>
        <v>290.77066226133</v>
      </c>
      <c r="M76" s="15">
        <f t="shared" si="10"/>
        <v>270.224829814712</v>
      </c>
      <c r="N76" s="15">
        <f t="shared" si="10"/>
        <v>243.838679085207</v>
      </c>
      <c r="O76" s="15">
        <f t="shared" si="10"/>
        <v>211.880450288362</v>
      </c>
      <c r="P76" s="15">
        <f t="shared" si="10"/>
        <v>174.796701483549</v>
      </c>
      <c r="Q76" s="15">
        <f t="shared" si="10"/>
        <v>133.207968145908</v>
      </c>
    </row>
    <row r="77" spans="1:17">
      <c r="B77" s="213" t="s">
        <v>380</v>
      </c>
      <c r="D77" s="15">
        <f>-('Balance Sheet'!E34-'Balance Sheet'!D34)</f>
        <v>-2877</v>
      </c>
      <c r="E77" s="15">
        <f>-('Balance Sheet'!F34-'Balance Sheet'!E34)</f>
        <v>-481</v>
      </c>
      <c r="F77" s="15">
        <f>-('Balance Sheet'!G34-'Balance Sheet'!F34)</f>
        <v>-1755</v>
      </c>
      <c r="G77" s="15">
        <f>-('Balance Sheet'!H34-'Balance Sheet'!G34)</f>
        <v>-2050</v>
      </c>
      <c r="H77" s="15">
        <f>-('Balance Sheet'!I34-'Balance Sheet'!H34)</f>
        <v>98.557936142437</v>
      </c>
      <c r="I77" s="15">
        <f>-('Balance Sheet'!J34-'Balance Sheet'!I34)</f>
        <v>-1504.73563148366</v>
      </c>
      <c r="J77" s="15">
        <f>-('Balance Sheet'!K34-'Balance Sheet'!J34)</f>
        <v>-1489.79790234616</v>
      </c>
      <c r="K77" s="15">
        <f>-('Balance Sheet'!L34-'Balance Sheet'!K34)</f>
        <v>-1448.2413636806</v>
      </c>
      <c r="L77" s="15">
        <f>-('Balance Sheet'!M34-'Balance Sheet'!L34)</f>
        <v>-1378.93439808586</v>
      </c>
      <c r="M77" s="15">
        <f>-('Balance Sheet'!N34-'Balance Sheet'!M34)</f>
        <v>-1281.49900045112</v>
      </c>
      <c r="N77" s="15">
        <f>-('Balance Sheet'!O34-'Balance Sheet'!N34)</f>
        <v>-1156.36680660795</v>
      </c>
      <c r="O77" s="15">
        <f>-('Balance Sheet'!P34-'Balance Sheet'!O34)</f>
        <v>-1004.80990383396</v>
      </c>
      <c r="P77" s="15">
        <f>-('Balance Sheet'!Q34-'Balance Sheet'!P34)</f>
        <v>-828.946023897639</v>
      </c>
      <c r="Q77" s="15">
        <f>-('Balance Sheet'!R34-'Balance Sheet'!Q34)</f>
        <v>-631.717959256945</v>
      </c>
    </row>
    <row r="78" spans="1:17">
      <c r="B78" s="213" t="s">
        <v>381</v>
      </c>
      <c r="D78" s="15">
        <f>-('Balance Sheet'!E36-'Balance Sheet'!D36)</f>
        <v>-3163</v>
      </c>
      <c r="E78" s="15">
        <f>-('Balance Sheet'!F36-'Balance Sheet'!E36)</f>
        <v>1668</v>
      </c>
      <c r="F78" s="15">
        <f>-('Balance Sheet'!G36-'Balance Sheet'!F36)</f>
        <v>868</v>
      </c>
      <c r="G78" s="15">
        <f>-('Balance Sheet'!H36-'Balance Sheet'!G36)</f>
        <v>-3205</v>
      </c>
      <c r="H78" s="15">
        <f>-('Balance Sheet'!I36-'Balance Sheet'!H36)</f>
        <v>-1809.54435111226</v>
      </c>
      <c r="I78" s="15">
        <f>-('Balance Sheet'!J36-'Balance Sheet'!I36)</f>
        <v>-1615.56537379693</v>
      </c>
      <c r="J78" s="15">
        <f>-('Balance Sheet'!K36-'Balance Sheet'!J36)</f>
        <v>-1599.52742171234</v>
      </c>
      <c r="K78" s="15">
        <f>-('Balance Sheet'!L36-'Balance Sheet'!K36)</f>
        <v>-1554.91007929139</v>
      </c>
      <c r="L78" s="15">
        <f>-('Balance Sheet'!M36-'Balance Sheet'!L36)</f>
        <v>-1480.49838102689</v>
      </c>
      <c r="M78" s="15">
        <f>-('Balance Sheet'!N36-'Balance Sheet'!M36)</f>
        <v>-1375.88648023365</v>
      </c>
      <c r="N78" s="15">
        <f>-('Balance Sheet'!O36-'Balance Sheet'!N36)</f>
        <v>-1241.53780443274</v>
      </c>
      <c r="O78" s="15">
        <f>-('Balance Sheet'!P36-'Balance Sheet'!O36)</f>
        <v>-1078.81813517087</v>
      </c>
      <c r="P78" s="15">
        <f>-('Balance Sheet'!Q36-'Balance Sheet'!P36)</f>
        <v>-890.001183553555</v>
      </c>
      <c r="Q78" s="15">
        <f>-('Balance Sheet'!R36-'Balance Sheet'!Q36)</f>
        <v>-678.246490365149</v>
      </c>
    </row>
    <row r="79" spans="1:17">
      <c r="B79" s="213" t="s">
        <v>382</v>
      </c>
      <c r="D79" s="15">
        <f>-('Balance Sheet'!E21-'Balance Sheet'!D21)</f>
        <v>-1338</v>
      </c>
      <c r="E79" s="15">
        <f>-('Balance Sheet'!F21-'Balance Sheet'!E21)</f>
        <v>-307</v>
      </c>
      <c r="F79" s="15">
        <f>-('Balance Sheet'!G21-'Balance Sheet'!F21)</f>
        <v>-406</v>
      </c>
      <c r="G79" s="15">
        <f>-('Balance Sheet'!H21-'Balance Sheet'!G21)</f>
        <v>735</v>
      </c>
      <c r="H79" s="15">
        <f>-('Balance Sheet'!I21-'Balance Sheet'!H21)</f>
        <v>-683.413481612507</v>
      </c>
      <c r="I79" s="15">
        <f>-('Balance Sheet'!J21-'Balance Sheet'!I21)</f>
        <v>-329.640745206627</v>
      </c>
      <c r="J79" s="15">
        <f>-('Balance Sheet'!K21-'Balance Sheet'!J21)</f>
        <v>-326.368353657206</v>
      </c>
      <c r="K79" s="15">
        <f>-('Balance Sheet'!L21-'Balance Sheet'!K21)</f>
        <v>-317.264609393227</v>
      </c>
      <c r="L79" s="15">
        <f>-('Balance Sheet'!M21-'Balance Sheet'!L21)</f>
        <v>-302.081610261259</v>
      </c>
      <c r="M79" s="15">
        <f>-('Balance Sheet'!N21-'Balance Sheet'!M21)</f>
        <v>-280.73654710611</v>
      </c>
      <c r="N79" s="15">
        <f>-('Balance Sheet'!O21-'Balance Sheet'!N21)</f>
        <v>-253.323977904746</v>
      </c>
      <c r="O79" s="15">
        <f>-('Balance Sheet'!P21-'Balance Sheet'!O21)</f>
        <v>-220.12257738872</v>
      </c>
      <c r="P79" s="15">
        <f>-('Balance Sheet'!Q21-'Balance Sheet'!P21)</f>
        <v>-181.596274678669</v>
      </c>
      <c r="Q79" s="15">
        <f>-('Balance Sheet'!R21-'Balance Sheet'!Q21)</f>
        <v>-138.389744014066</v>
      </c>
    </row>
    <row r="80" spans="1:17">
      <c r="B80" s="213" t="s">
        <v>130</v>
      </c>
      <c r="D80" s="15">
        <f t="shared" ref="D80:Q80" si="11">D48</f>
        <v>-289</v>
      </c>
      <c r="E80" s="15">
        <f t="shared" si="11"/>
        <v>197</v>
      </c>
      <c r="F80" s="15">
        <f t="shared" si="11"/>
        <v>-592</v>
      </c>
      <c r="G80" s="15">
        <f t="shared" si="11"/>
        <v>-827</v>
      </c>
      <c r="H80" s="15">
        <f t="shared" si="11"/>
        <v>300.464262061211</v>
      </c>
      <c r="I80" s="15">
        <f t="shared" si="11"/>
        <v>-308.689025019316</v>
      </c>
      <c r="J80" s="15">
        <f t="shared" si="11"/>
        <v>-305.624624238887</v>
      </c>
      <c r="K80" s="15">
        <f t="shared" si="11"/>
        <v>-297.099507178158</v>
      </c>
      <c r="L80" s="15">
        <f t="shared" si="11"/>
        <v>-282.881528159883</v>
      </c>
      <c r="M80" s="15">
        <f t="shared" si="11"/>
        <v>-262.893141317083</v>
      </c>
      <c r="N80" s="15">
        <f t="shared" si="11"/>
        <v>-237.222894592155</v>
      </c>
      <c r="O80" s="15">
        <f t="shared" si="11"/>
        <v>-206.131750358319</v>
      </c>
      <c r="P80" s="15">
        <f t="shared" si="11"/>
        <v>-170.054150746931</v>
      </c>
      <c r="Q80" s="15">
        <f t="shared" si="11"/>
        <v>-129.593794983073</v>
      </c>
    </row>
    <row r="81" spans="2:17">
      <c r="B81" s="232" t="s">
        <v>383</v>
      </c>
      <c r="D81" s="233">
        <f t="shared" ref="D81:Q81" si="12">SUM(D72:D80)</f>
        <v>-6187</v>
      </c>
      <c r="E81" s="233">
        <f t="shared" si="12"/>
        <v>-5195</v>
      </c>
      <c r="F81" s="233">
        <f t="shared" si="12"/>
        <v>-567</v>
      </c>
      <c r="G81" s="233">
        <f t="shared" si="12"/>
        <v>-1150</v>
      </c>
      <c r="H81" s="233">
        <f t="shared" si="12"/>
        <v>-514.302943867704</v>
      </c>
      <c r="I81" s="233">
        <f t="shared" si="12"/>
        <v>-2565.94532476319</v>
      </c>
      <c r="J81" s="233">
        <f t="shared" si="12"/>
        <v>-2540.47281288736</v>
      </c>
      <c r="K81" s="233">
        <f t="shared" si="12"/>
        <v>-2469.60866647442</v>
      </c>
      <c r="L81" s="233">
        <f t="shared" si="12"/>
        <v>-2351.42319879463</v>
      </c>
      <c r="M81" s="233">
        <f t="shared" si="12"/>
        <v>-2185.27181791665</v>
      </c>
      <c r="N81" s="233">
        <f t="shared" si="12"/>
        <v>-1971.89056937622</v>
      </c>
      <c r="O81" s="233">
        <f t="shared" si="12"/>
        <v>-1713.44867568287</v>
      </c>
      <c r="P81" s="233">
        <f t="shared" si="12"/>
        <v>-1413.55739174192</v>
      </c>
      <c r="Q81" s="233">
        <f t="shared" si="12"/>
        <v>-1077.23490439716</v>
      </c>
    </row>
  </sheetData>
  <mergeCells count="4">
    <mergeCell ref="P6:Q6"/>
    <mergeCell ref="B7:Q7"/>
    <mergeCell ref="B2:B4"/>
    <mergeCell ref="B8:B9"/>
  </mergeCells>
  <pageMargins left="0.7" right="0.7" top="0.75" bottom="0.75" header="0.511811023622047" footer="0.511811023622047"/>
  <pageSetup paperSize="1" orientation="portrait" horizontalDpi="300" verticalDpi="3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6"/>
  <sheetViews>
    <sheetView showGridLines="0" workbookViewId="0">
      <selection activeCell="I9" sqref="I9"/>
    </sheetView>
  </sheetViews>
  <sheetFormatPr defaultColWidth="8.81481481481481" defaultRowHeight="14.4"/>
  <cols>
    <col min="1" max="1" width="22.7592592592593" style="118" customWidth="1"/>
    <col min="3" max="3" width="9.78703703703704" style="118" customWidth="1"/>
    <col min="5" max="5" width="14.7962962962963" style="118" customWidth="1"/>
    <col min="7" max="7" width="13" style="118" customWidth="1"/>
    <col min="8" max="11" width="17.3611111111111" style="118" customWidth="1"/>
    <col min="12" max="12" width="16.3611111111111" style="118" customWidth="1"/>
  </cols>
  <sheetData>
    <row r="1" ht="36" customHeight="1" spans="1:20">
      <c r="A1" s="184" t="str">
        <f>'Cash Flows'!B2</f>
        <v>Infosys Limited</v>
      </c>
      <c r="B1" s="184"/>
      <c r="C1" s="184"/>
      <c r="D1" s="185"/>
      <c r="E1" s="185"/>
      <c r="F1" s="185"/>
      <c r="G1" s="185"/>
      <c r="H1" s="185"/>
      <c r="I1" s="185"/>
      <c r="J1" s="185"/>
      <c r="K1" s="185"/>
      <c r="L1" s="185"/>
      <c r="M1" s="185"/>
      <c r="N1" s="186"/>
      <c r="O1" s="186"/>
      <c r="P1" s="186"/>
      <c r="Q1" s="186"/>
      <c r="R1" s="186"/>
      <c r="S1" s="186"/>
      <c r="T1" s="186"/>
    </row>
    <row r="2" ht="15" customHeight="1" spans="1:20">
      <c r="A2" s="187" t="s">
        <v>384</v>
      </c>
      <c r="B2" s="187"/>
      <c r="C2" s="187"/>
      <c r="D2" s="187"/>
      <c r="E2" s="185"/>
      <c r="F2" s="185"/>
      <c r="G2" s="185"/>
      <c r="H2" s="185"/>
      <c r="I2" s="185"/>
      <c r="J2" s="185"/>
      <c r="K2" s="185"/>
      <c r="L2" s="185"/>
      <c r="M2" s="185"/>
      <c r="N2" s="186"/>
      <c r="O2" s="186"/>
      <c r="P2" s="186"/>
      <c r="Q2" s="186"/>
      <c r="R2" s="186"/>
      <c r="S2" s="186"/>
      <c r="T2" s="186"/>
    </row>
    <row r="3" ht="14.25" customHeight="1" spans="1:20">
      <c r="N3" s="126"/>
      <c r="O3" s="126"/>
      <c r="P3" s="126"/>
      <c r="Q3" s="126"/>
      <c r="R3" s="126"/>
      <c r="S3" s="126"/>
      <c r="T3" s="126"/>
    </row>
    <row r="4" ht="34.5" customHeight="1" spans="1:20">
      <c r="A4" s="188" t="s">
        <v>384</v>
      </c>
      <c r="B4" s="188"/>
      <c r="C4" s="188"/>
      <c r="D4" s="188"/>
      <c r="E4" s="188"/>
      <c r="F4" s="188"/>
      <c r="G4" s="188"/>
      <c r="H4" s="188"/>
      <c r="I4" s="188"/>
      <c r="J4" s="188"/>
      <c r="K4" s="188"/>
      <c r="L4" s="188"/>
      <c r="M4" s="188"/>
      <c r="N4" s="189"/>
      <c r="O4" s="189"/>
      <c r="P4" s="189"/>
      <c r="Q4" s="189"/>
      <c r="R4" s="189"/>
      <c r="S4" s="189"/>
      <c r="T4" s="189"/>
    </row>
    <row r="5" ht="21" customHeight="1" spans="1:20">
      <c r="H5" s="190"/>
      <c r="I5" s="190"/>
      <c r="J5" s="190"/>
      <c r="K5" s="191" t="s">
        <v>385</v>
      </c>
      <c r="N5" s="126"/>
      <c r="O5" s="126"/>
      <c r="P5" s="126"/>
      <c r="Q5" s="126"/>
      <c r="R5" s="126"/>
      <c r="S5" s="126"/>
      <c r="T5" s="126"/>
    </row>
    <row r="6" ht="15" customHeight="1" spans="1:20">
      <c r="H6" s="191" t="s">
        <v>386</v>
      </c>
      <c r="I6" s="191" t="s">
        <v>387</v>
      </c>
      <c r="J6" s="191" t="s">
        <v>388</v>
      </c>
      <c r="K6" s="191" t="s">
        <v>389</v>
      </c>
      <c r="N6" s="126"/>
      <c r="O6" s="126"/>
      <c r="P6" s="126"/>
      <c r="Q6" s="126"/>
      <c r="R6" s="126"/>
      <c r="S6" s="126"/>
      <c r="T6" s="126"/>
    </row>
    <row r="7" ht="18" customHeight="1" spans="1:20">
      <c r="B7" s="192" t="s">
        <v>390</v>
      </c>
      <c r="H7" s="193">
        <f>MAX('Comps Data'!I8:I13)</f>
        <v>5418</v>
      </c>
      <c r="I7" s="193">
        <v>3676.64599333805</v>
      </c>
      <c r="J7" s="193">
        <f>'Equity Beta'!I23</f>
        <v>1992.1</v>
      </c>
      <c r="K7" s="193">
        <f>MAX(G32:G36)</f>
        <v>1334</v>
      </c>
      <c r="N7" s="126"/>
      <c r="O7" s="126"/>
      <c r="P7" s="126"/>
      <c r="Q7" s="126"/>
      <c r="R7" s="126"/>
      <c r="S7" s="126"/>
      <c r="T7" s="126"/>
    </row>
    <row r="8" ht="18" customHeight="1" spans="1:20">
      <c r="B8" s="192" t="s">
        <v>390</v>
      </c>
      <c r="H8" s="193">
        <f>H7</f>
        <v>5418</v>
      </c>
      <c r="I8" s="193">
        <f>I7</f>
        <v>3676.64599333805</v>
      </c>
      <c r="J8" s="193">
        <f>J7</f>
        <v>1992.1</v>
      </c>
      <c r="K8" s="193">
        <f>K7</f>
        <v>1334</v>
      </c>
      <c r="N8" s="126"/>
      <c r="O8" s="126"/>
      <c r="P8" s="126"/>
      <c r="Q8" s="126"/>
      <c r="R8" s="126"/>
      <c r="S8" s="126"/>
      <c r="T8" s="126"/>
    </row>
    <row r="9" ht="18" customHeight="1" spans="1:20">
      <c r="B9" s="192" t="s">
        <v>391</v>
      </c>
      <c r="H9" s="193">
        <f>MIN('Comps Data'!I8:I13)</f>
        <v>164</v>
      </c>
      <c r="I9" s="193">
        <v>2375.22004896934</v>
      </c>
      <c r="J9" s="193">
        <f>'Equity Beta'!I21</f>
        <v>992</v>
      </c>
      <c r="K9" s="193">
        <f>MIN(G32:G36)</f>
        <v>940</v>
      </c>
      <c r="N9" s="126"/>
      <c r="O9" s="126"/>
      <c r="P9" s="126"/>
      <c r="Q9" s="126"/>
      <c r="R9" s="126"/>
      <c r="S9" s="126"/>
      <c r="T9" s="126"/>
    </row>
    <row r="10" ht="18" customHeight="1" spans="1:20">
      <c r="B10" s="192" t="s">
        <v>391</v>
      </c>
      <c r="H10" s="193">
        <f>H9</f>
        <v>164</v>
      </c>
      <c r="I10" s="193">
        <f>I9</f>
        <v>2375.22004896934</v>
      </c>
      <c r="J10" s="193">
        <f>J9</f>
        <v>992</v>
      </c>
      <c r="K10" s="193">
        <f>K9</f>
        <v>940</v>
      </c>
      <c r="N10" s="126"/>
      <c r="O10" s="126"/>
      <c r="P10" s="126"/>
      <c r="Q10" s="126"/>
      <c r="R10" s="126"/>
      <c r="S10" s="126"/>
      <c r="T10" s="126"/>
    </row>
    <row r="11" ht="14.25" customHeight="1" spans="1:20">
      <c r="N11" s="126"/>
      <c r="O11" s="126"/>
      <c r="P11" s="126"/>
      <c r="Q11" s="126"/>
      <c r="R11" s="126"/>
      <c r="S11" s="126"/>
      <c r="T11" s="126"/>
    </row>
    <row r="12" ht="18" customHeight="1" spans="1:20">
      <c r="A12" s="194" t="s">
        <v>392</v>
      </c>
      <c r="B12" s="194"/>
      <c r="C12" s="194"/>
      <c r="D12" s="195"/>
      <c r="E12" s="195"/>
      <c r="F12" s="195"/>
      <c r="G12" s="195"/>
      <c r="H12" s="195"/>
      <c r="I12" s="195"/>
      <c r="J12" s="195"/>
      <c r="K12" s="195"/>
      <c r="L12" s="195"/>
      <c r="M12" s="195"/>
      <c r="N12" s="196"/>
      <c r="O12" s="196"/>
      <c r="P12" s="196"/>
      <c r="Q12" s="196"/>
      <c r="R12" s="196"/>
      <c r="S12" s="196"/>
      <c r="T12" s="196"/>
    </row>
    <row r="18" ht="14.25" customHeight="1" spans="1:12">
      <c r="I18" s="197"/>
      <c r="J18" s="197"/>
      <c r="K18" s="197"/>
      <c r="L18" s="197"/>
    </row>
    <row r="19" ht="14.25" customHeight="1" spans="1:12">
      <c r="I19" s="198"/>
      <c r="J19" s="199"/>
      <c r="K19" s="200"/>
      <c r="L19" s="199"/>
    </row>
    <row r="20" ht="14.25" customHeight="1" spans="1:12">
      <c r="I20" s="198"/>
      <c r="J20" s="199"/>
      <c r="K20" s="200"/>
      <c r="L20" s="201"/>
    </row>
    <row r="21" ht="14.25" customHeight="1" spans="1:12">
      <c r="I21" s="198"/>
      <c r="J21" s="199"/>
      <c r="K21" s="200"/>
      <c r="L21" s="201"/>
    </row>
    <row r="22" ht="14.25" customHeight="1" spans="1:12">
      <c r="I22" s="198"/>
      <c r="J22" s="199"/>
      <c r="K22" s="200"/>
      <c r="L22" s="201"/>
    </row>
    <row r="23" ht="14.25" customHeight="1" spans="1:12">
      <c r="I23" s="198"/>
      <c r="J23" s="199"/>
      <c r="K23" s="200"/>
      <c r="L23" s="201"/>
    </row>
    <row r="31" ht="14.25" customHeight="1" spans="1:12">
      <c r="A31" s="202" t="s">
        <v>393</v>
      </c>
      <c r="B31" s="203"/>
      <c r="C31" s="204" t="s">
        <v>394</v>
      </c>
      <c r="D31" s="203"/>
      <c r="E31" s="204" t="s">
        <v>395</v>
      </c>
      <c r="F31" s="203"/>
      <c r="G31" s="204" t="s">
        <v>396</v>
      </c>
      <c r="J31" s="205"/>
      <c r="K31" s="205"/>
      <c r="L31" s="205"/>
    </row>
    <row r="32" ht="18" customHeight="1" spans="1:12">
      <c r="A32" s="206" t="s">
        <v>397</v>
      </c>
      <c r="C32" s="198">
        <v>46227</v>
      </c>
      <c r="E32" s="200">
        <v>1047.4</v>
      </c>
      <c r="F32" s="207"/>
      <c r="G32" s="200">
        <v>940</v>
      </c>
    </row>
    <row r="33" ht="18" customHeight="1" spans="1:7">
      <c r="A33" s="206" t="s">
        <v>398</v>
      </c>
      <c r="C33" s="198">
        <v>46227</v>
      </c>
      <c r="E33" s="200">
        <v>1040.9</v>
      </c>
      <c r="F33" s="207"/>
      <c r="G33" s="200">
        <v>1140</v>
      </c>
    </row>
    <row r="34" ht="18" customHeight="1" spans="1:7">
      <c r="A34" s="206" t="s">
        <v>399</v>
      </c>
      <c r="C34" s="198">
        <v>46175</v>
      </c>
      <c r="E34" s="200">
        <v>1203</v>
      </c>
      <c r="F34" s="207"/>
      <c r="G34" s="200">
        <v>1270</v>
      </c>
    </row>
    <row r="35" ht="14.25" customHeight="1" spans="1:7">
      <c r="A35" s="206" t="s">
        <v>400</v>
      </c>
      <c r="C35" s="198">
        <v>46142</v>
      </c>
      <c r="E35" s="200">
        <v>1181.8</v>
      </c>
      <c r="G35" s="200">
        <v>1334</v>
      </c>
    </row>
    <row r="36" ht="14.25" customHeight="1" spans="1:7">
      <c r="A36" s="206" t="s">
        <v>401</v>
      </c>
      <c r="C36" s="198">
        <v>46226</v>
      </c>
      <c r="E36" s="200">
        <v>1047.4</v>
      </c>
      <c r="G36" s="200">
        <v>1170</v>
      </c>
    </row>
  </sheetData>
  <pageMargins left="0.75" right="0.75" top="1" bottom="1" header="0.511811023622047" footer="0.511811023622047"/>
  <pageSetup paperSize="9" orientation="portrait" horizontalDpi="300" verticalDpi="300"/>
  <headerFooter/>
  <ignoredErrors>
    <ignoredError sqref="H9 J9:K9" formula="1"/>
  </ignoredErrors>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3:Q28"/>
  <sheetViews>
    <sheetView showGridLines="0" zoomScale="81" zoomScaleNormal="81" workbookViewId="0">
      <selection activeCell="C11" sqref="C11"/>
    </sheetView>
  </sheetViews>
  <sheetFormatPr defaultColWidth="8.83333333333333" defaultRowHeight="14.4"/>
  <cols>
    <col min="2" max="2" width="33.6111111111111" style="118" customWidth="1"/>
    <col min="3" max="12" width="12.1666666666667" style="118" customWidth="1"/>
    <col min="13" max="17" width="13.3425925925926" style="118" customWidth="1"/>
  </cols>
  <sheetData>
    <row r="3" ht="14.25" customHeight="1" spans="2:17">
      <c r="B3" s="173" t="s">
        <v>21</v>
      </c>
      <c r="C3" s="173"/>
      <c r="D3" s="173"/>
    </row>
    <row r="4" ht="14.25" customHeight="1" spans="2:17">
      <c r="B4" s="173"/>
      <c r="C4" s="173"/>
      <c r="D4" s="173"/>
    </row>
    <row r="5" ht="14.25" customHeight="1" spans="2:17">
      <c r="B5" s="173"/>
      <c r="C5" s="173"/>
      <c r="D5" s="173"/>
    </row>
    <row r="6" ht="14.25" customHeight="1" spans="2:17">
      <c r="B6" s="3"/>
      <c r="C6" s="3"/>
      <c r="D6" s="3"/>
      <c r="E6" s="3"/>
      <c r="F6" s="6"/>
      <c r="G6" s="6"/>
      <c r="H6" s="3"/>
      <c r="I6" s="3"/>
      <c r="J6" s="3"/>
      <c r="K6" s="3"/>
      <c r="L6" s="3"/>
      <c r="M6" s="3"/>
      <c r="N6" s="3"/>
      <c r="O6" s="3"/>
      <c r="P6" s="5" t="s">
        <v>83</v>
      </c>
      <c r="Q6" s="5"/>
    </row>
    <row r="7" ht="15" customHeight="1" spans="2:17">
      <c r="B7" s="174" t="s">
        <v>15</v>
      </c>
      <c r="C7" s="174"/>
      <c r="D7" s="174"/>
      <c r="E7" s="174"/>
      <c r="F7" s="174"/>
      <c r="G7" s="174"/>
      <c r="H7" s="174"/>
      <c r="I7" s="174"/>
      <c r="J7" s="174"/>
      <c r="K7" s="174"/>
      <c r="L7" s="174"/>
      <c r="M7" s="174"/>
      <c r="N7" s="174"/>
      <c r="O7" s="174"/>
      <c r="P7" s="174"/>
      <c r="Q7" s="174"/>
    </row>
    <row r="8" ht="14.25" customHeight="1" spans="2:17">
      <c r="B8" s="175" t="s">
        <v>39</v>
      </c>
      <c r="C8" s="9">
        <f>'Cash Flows'!C8</f>
        <v>2022</v>
      </c>
      <c r="D8" s="9">
        <f>'Cash Flows'!D8</f>
        <v>2023</v>
      </c>
      <c r="E8" s="9">
        <f>'Cash Flows'!E8</f>
        <v>2024</v>
      </c>
      <c r="F8" s="9">
        <f>'Cash Flows'!F8</f>
        <v>2025</v>
      </c>
      <c r="G8" s="9">
        <f>'Cash Flows'!G8</f>
        <v>2026</v>
      </c>
      <c r="H8" s="9">
        <f>'Cash Flows'!H8</f>
        <v>2027</v>
      </c>
      <c r="I8" s="9">
        <f>'Cash Flows'!I8</f>
        <v>2028</v>
      </c>
      <c r="J8" s="9">
        <f>'Cash Flows'!J8</f>
        <v>2029</v>
      </c>
      <c r="K8" s="9">
        <f>'Cash Flows'!K8</f>
        <v>2030</v>
      </c>
      <c r="L8" s="9">
        <f>'Cash Flows'!L8</f>
        <v>2031</v>
      </c>
      <c r="M8" s="9">
        <f>'Cash Flows'!M8</f>
        <v>2032</v>
      </c>
      <c r="N8" s="9">
        <f>'Cash Flows'!N8</f>
        <v>2033</v>
      </c>
      <c r="O8" s="9">
        <f>'Cash Flows'!O8</f>
        <v>2034</v>
      </c>
      <c r="P8" s="9">
        <f>'Cash Flows'!P8</f>
        <v>2035</v>
      </c>
      <c r="Q8" s="9">
        <f>'Cash Flows'!Q8</f>
        <v>2036</v>
      </c>
    </row>
    <row r="9" ht="14.25" customHeight="1" spans="2:17">
      <c r="B9" s="175"/>
      <c r="C9" s="11" t="s">
        <v>84</v>
      </c>
      <c r="D9" s="11" t="s">
        <v>84</v>
      </c>
      <c r="E9" s="11" t="s">
        <v>84</v>
      </c>
      <c r="F9" s="11" t="s">
        <v>84</v>
      </c>
      <c r="G9" s="11" t="s">
        <v>84</v>
      </c>
      <c r="H9" s="12" t="s">
        <v>234</v>
      </c>
      <c r="I9" s="12" t="s">
        <v>235</v>
      </c>
      <c r="J9" s="12" t="s">
        <v>235</v>
      </c>
      <c r="K9" s="12" t="s">
        <v>235</v>
      </c>
      <c r="L9" s="12" t="s">
        <v>235</v>
      </c>
      <c r="M9" s="12" t="s">
        <v>235</v>
      </c>
      <c r="N9" s="12" t="s">
        <v>235</v>
      </c>
      <c r="O9" s="12" t="s">
        <v>235</v>
      </c>
      <c r="P9" s="12" t="s">
        <v>235</v>
      </c>
      <c r="Q9" s="12" t="s">
        <v>235</v>
      </c>
    </row>
    <row r="10" ht="14.25" customHeight="1" spans="2:17">
      <c r="B10" s="3"/>
      <c r="C10" s="3"/>
      <c r="D10" s="3"/>
      <c r="E10" s="3"/>
      <c r="F10" s="3"/>
      <c r="G10" s="3"/>
      <c r="H10" s="13"/>
      <c r="I10" s="13"/>
      <c r="J10" s="13"/>
      <c r="K10" s="13"/>
      <c r="L10" s="13"/>
      <c r="M10" s="13"/>
      <c r="N10" s="13"/>
      <c r="O10" s="13"/>
      <c r="P10" s="13"/>
      <c r="Q10" s="13"/>
    </row>
    <row r="11" ht="14.25" customHeight="1" spans="2:17">
      <c r="B11" s="176" t="s">
        <v>402</v>
      </c>
      <c r="C11" s="177">
        <f>'Income Statement'!C14</f>
        <v>121641</v>
      </c>
      <c r="D11" s="177">
        <f>'Income Statement'!D14</f>
        <v>146767</v>
      </c>
      <c r="E11" s="177">
        <f>'Income Statement'!E14</f>
        <v>153670</v>
      </c>
      <c r="F11" s="177">
        <f>'Income Statement'!F14</f>
        <v>162990</v>
      </c>
      <c r="G11" s="177">
        <f>'Income Statement'!G14</f>
        <v>178650</v>
      </c>
      <c r="H11" s="177">
        <f>'Income Statement'!H14</f>
        <v>184226.178856416</v>
      </c>
      <c r="I11" s="177">
        <f>'Income Statement'!I14</f>
        <v>201780.731154828</v>
      </c>
      <c r="J11" s="177">
        <f>'Income Statement'!J14</f>
        <v>219161.016863231</v>
      </c>
      <c r="K11" s="177">
        <f>'Income Statement'!K14</f>
        <v>236056.495529066</v>
      </c>
      <c r="L11" s="177">
        <f>'Income Statement'!L14</f>
        <v>252143.425020734</v>
      </c>
      <c r="M11" s="177">
        <f>'Income Statement'!M14</f>
        <v>267093.653322034</v>
      </c>
      <c r="N11" s="177">
        <f>'Income Statement'!N14</f>
        <v>280584.063968276</v>
      </c>
      <c r="O11" s="177">
        <f>'Income Statement'!O14</f>
        <v>292306.380923995</v>
      </c>
      <c r="P11" s="177">
        <f>'Income Statement'!P14</f>
        <v>301977.034043789</v>
      </c>
      <c r="Q11" s="177">
        <f>'Income Statement'!Q14</f>
        <v>309346.784398333</v>
      </c>
    </row>
    <row r="12" ht="14.25" customHeight="1" spans="2:17">
      <c r="B12" s="178" t="s">
        <v>403</v>
      </c>
      <c r="C12" s="179"/>
      <c r="D12" s="180">
        <f t="shared" ref="D12:Q12" si="0">IFERROR((D11-C11)/C11,"N/A")</f>
        <v>0.206558643878298</v>
      </c>
      <c r="E12" s="180">
        <f t="shared" si="0"/>
        <v>0.0470337337412361</v>
      </c>
      <c r="F12" s="180">
        <f t="shared" si="0"/>
        <v>0.0606494436129368</v>
      </c>
      <c r="G12" s="180">
        <f t="shared" si="0"/>
        <v>0.0960795140806184</v>
      </c>
      <c r="H12" s="180">
        <f t="shared" si="0"/>
        <v>0.0312128679340386</v>
      </c>
      <c r="I12" s="180">
        <f t="shared" si="0"/>
        <v>0.0952880443343172</v>
      </c>
      <c r="J12" s="180">
        <f t="shared" si="0"/>
        <v>0.0861345164572079</v>
      </c>
      <c r="K12" s="180">
        <f t="shared" si="0"/>
        <v>0.0770916238099896</v>
      </c>
      <c r="L12" s="180">
        <f t="shared" si="0"/>
        <v>0.0681486415174168</v>
      </c>
      <c r="M12" s="180">
        <f t="shared" si="0"/>
        <v>0.0592925566076951</v>
      </c>
      <c r="N12" s="180">
        <f t="shared" si="0"/>
        <v>0.0505081662497487</v>
      </c>
      <c r="O12" s="180">
        <f t="shared" si="0"/>
        <v>0.0417782706185492</v>
      </c>
      <c r="P12" s="180">
        <f t="shared" si="0"/>
        <v>0.0330839617295545</v>
      </c>
      <c r="Q12" s="180">
        <f t="shared" si="0"/>
        <v>0.0244050027773811</v>
      </c>
    </row>
    <row r="13" ht="14.25" customHeight="1" spans="2:17">
      <c r="B13" s="176" t="s">
        <v>404</v>
      </c>
      <c r="C13" s="177">
        <f>'Income Statement'!C18</f>
        <v>63986</v>
      </c>
      <c r="D13" s="177">
        <f>'Income Statement'!D18</f>
        <v>78359</v>
      </c>
      <c r="E13" s="177">
        <f>'Income Statement'!E18</f>
        <v>82620</v>
      </c>
      <c r="F13" s="177">
        <f>'Income Statement'!F18</f>
        <v>85950</v>
      </c>
      <c r="G13" s="177">
        <f>'Income Statement'!G18</f>
        <v>95094</v>
      </c>
      <c r="H13" s="177">
        <f>'Income Statement'!H18</f>
        <v>104041.76234016</v>
      </c>
      <c r="I13" s="177">
        <f>'Income Statement'!I18</f>
        <v>113955.69840265</v>
      </c>
      <c r="J13" s="177">
        <f>'Income Statement'!J18</f>
        <v>123771.217382106</v>
      </c>
      <c r="K13" s="177">
        <f>'Income Statement'!K18</f>
        <v>133312.941511032</v>
      </c>
      <c r="L13" s="177">
        <f>'Income Statement'!L18</f>
        <v>142398.037371699</v>
      </c>
      <c r="M13" s="177">
        <f>'Income Statement'!M18</f>
        <v>150841.181063385</v>
      </c>
      <c r="N13" s="177">
        <f>'Income Statement'!N18</f>
        <v>158459.892513843</v>
      </c>
      <c r="O13" s="177">
        <f>'Income Statement'!O18</f>
        <v>165080.072785473</v>
      </c>
      <c r="P13" s="177">
        <f>'Income Statement'!P18</f>
        <v>170541.575595819</v>
      </c>
      <c r="Q13" s="177">
        <f>'Income Statement'!Q18</f>
        <v>174703.643221894</v>
      </c>
    </row>
    <row r="14" ht="14.25" customHeight="1" spans="2:17">
      <c r="B14" s="178" t="s">
        <v>403</v>
      </c>
      <c r="C14" s="179"/>
      <c r="D14" s="180">
        <f t="shared" ref="D14:Q14" si="1">IFERROR((D13-C13)/C13,"N/A")</f>
        <v>0.224627262213609</v>
      </c>
      <c r="E14" s="180">
        <f t="shared" si="1"/>
        <v>0.0543779272323537</v>
      </c>
      <c r="F14" s="180">
        <f t="shared" si="1"/>
        <v>0.0403050108932462</v>
      </c>
      <c r="G14" s="180">
        <f t="shared" si="1"/>
        <v>0.106387434554974</v>
      </c>
      <c r="H14" s="180">
        <f t="shared" si="1"/>
        <v>0.0940938685948674</v>
      </c>
      <c r="I14" s="180">
        <f t="shared" si="1"/>
        <v>0.0952880443343172</v>
      </c>
      <c r="J14" s="180">
        <f t="shared" si="1"/>
        <v>0.0861345164572078</v>
      </c>
      <c r="K14" s="180">
        <f t="shared" si="1"/>
        <v>0.0770916238099917</v>
      </c>
      <c r="L14" s="180">
        <f t="shared" si="1"/>
        <v>0.068148641517415</v>
      </c>
      <c r="M14" s="180">
        <f t="shared" si="1"/>
        <v>0.0592925566076962</v>
      </c>
      <c r="N14" s="180">
        <f t="shared" si="1"/>
        <v>0.0505081662497486</v>
      </c>
      <c r="O14" s="180">
        <f t="shared" si="1"/>
        <v>0.0417782706185496</v>
      </c>
      <c r="P14" s="180">
        <f t="shared" si="1"/>
        <v>0.0330839617295524</v>
      </c>
      <c r="Q14" s="180">
        <f t="shared" si="1"/>
        <v>0.0244050027773821</v>
      </c>
    </row>
    <row r="15" ht="14.25" customHeight="1" spans="2:17">
      <c r="B15" s="176" t="s">
        <v>405</v>
      </c>
      <c r="C15" s="177">
        <f>'Income Statement'!C25</f>
        <v>90150</v>
      </c>
      <c r="D15" s="177">
        <f>'Income Statement'!D25</f>
        <v>111637</v>
      </c>
      <c r="E15" s="177">
        <f>'Income Statement'!E25</f>
        <v>117245</v>
      </c>
      <c r="F15" s="177">
        <f>'Income Statement'!F25</f>
        <v>123754</v>
      </c>
      <c r="G15" s="177">
        <f>'Income Statement'!G25</f>
        <v>136370</v>
      </c>
      <c r="H15" s="177">
        <f>'Income Statement'!H25</f>
        <v>148291.993168009</v>
      </c>
      <c r="I15" s="177">
        <f>'Income Statement'!I25</f>
        <v>162422.447187426</v>
      </c>
      <c r="J15" s="177">
        <f>'Income Statement'!J25</f>
        <v>176412.626137712</v>
      </c>
      <c r="K15" s="177">
        <f>'Income Statement'!K25</f>
        <v>190012.561947253</v>
      </c>
      <c r="L15" s="177">
        <f>'Income Statement'!L25</f>
        <v>202961.659915202</v>
      </c>
      <c r="M15" s="177">
        <f>'Income Statement'!M25</f>
        <v>214995.775624916</v>
      </c>
      <c r="N15" s="177">
        <f>'Income Statement'!N25</f>
        <v>225854.818003173</v>
      </c>
      <c r="O15" s="177">
        <f>'Income Statement'!O25</f>
        <v>235290.641710213</v>
      </c>
      <c r="P15" s="177">
        <f>'Income Statement'!P25</f>
        <v>243074.988295875</v>
      </c>
      <c r="Q15" s="177">
        <f>'Income Statement'!Q25</f>
        <v>249007.234060348</v>
      </c>
    </row>
    <row r="16" ht="14.25" customHeight="1" spans="2:17">
      <c r="B16" s="181" t="s">
        <v>97</v>
      </c>
      <c r="C16" s="182">
        <f t="shared" ref="C16:Q16" si="2">C11-C15</f>
        <v>31491</v>
      </c>
      <c r="D16" s="182">
        <f t="shared" si="2"/>
        <v>35130</v>
      </c>
      <c r="E16" s="182">
        <f t="shared" si="2"/>
        <v>36425</v>
      </c>
      <c r="F16" s="182">
        <f t="shared" si="2"/>
        <v>39236</v>
      </c>
      <c r="G16" s="182">
        <f t="shared" si="2"/>
        <v>42280</v>
      </c>
      <c r="H16" s="182">
        <f t="shared" si="2"/>
        <v>35934.185688407</v>
      </c>
      <c r="I16" s="182">
        <f t="shared" si="2"/>
        <v>39358.283967402</v>
      </c>
      <c r="J16" s="182">
        <f t="shared" si="2"/>
        <v>42748.390725519</v>
      </c>
      <c r="K16" s="182">
        <f t="shared" si="2"/>
        <v>46043.933581813</v>
      </c>
      <c r="L16" s="182">
        <f t="shared" si="2"/>
        <v>49181.765105532</v>
      </c>
      <c r="M16" s="182">
        <f t="shared" si="2"/>
        <v>52097.877697118</v>
      </c>
      <c r="N16" s="182">
        <f t="shared" si="2"/>
        <v>54729.245965103</v>
      </c>
      <c r="O16" s="182">
        <f t="shared" si="2"/>
        <v>57015.739213782</v>
      </c>
      <c r="P16" s="182">
        <f t="shared" si="2"/>
        <v>58902.045747914</v>
      </c>
      <c r="Q16" s="182">
        <f t="shared" si="2"/>
        <v>60339.550337985</v>
      </c>
    </row>
    <row r="17" ht="14.25" customHeight="1" spans="2:17">
      <c r="B17" s="178" t="s">
        <v>403</v>
      </c>
      <c r="C17" s="179"/>
      <c r="D17" s="180">
        <f t="shared" ref="D17:Q17" si="3">IFERROR((D16-C16)/C16,"N/A")</f>
        <v>0.115556825759741</v>
      </c>
      <c r="E17" s="180">
        <f t="shared" si="3"/>
        <v>0.0368630799886137</v>
      </c>
      <c r="F17" s="180">
        <f t="shared" si="3"/>
        <v>0.0771722717913521</v>
      </c>
      <c r="G17" s="180">
        <f t="shared" si="3"/>
        <v>0.0775818126210623</v>
      </c>
      <c r="H17" s="180">
        <f t="shared" si="3"/>
        <v>-0.150090215505984</v>
      </c>
      <c r="I17" s="180">
        <f t="shared" si="3"/>
        <v>0.0952880443343314</v>
      </c>
      <c r="J17" s="180">
        <f t="shared" si="3"/>
        <v>0.0861345164571908</v>
      </c>
      <c r="K17" s="180">
        <f t="shared" si="3"/>
        <v>0.0770916238099857</v>
      </c>
      <c r="L17" s="180">
        <f t="shared" si="3"/>
        <v>0.0681486415174231</v>
      </c>
      <c r="M17" s="180">
        <f t="shared" si="3"/>
        <v>0.059292556607693</v>
      </c>
      <c r="N17" s="180">
        <f t="shared" si="3"/>
        <v>0.0505081662497472</v>
      </c>
      <c r="O17" s="180">
        <f t="shared" si="3"/>
        <v>0.0417782706185443</v>
      </c>
      <c r="P17" s="180">
        <f t="shared" si="3"/>
        <v>0.0330839617295725</v>
      </c>
      <c r="Q17" s="180">
        <f t="shared" si="3"/>
        <v>0.0244050027773757</v>
      </c>
    </row>
    <row r="18" ht="14.25" customHeight="1" spans="2:17">
      <c r="B18" s="176" t="s">
        <v>406</v>
      </c>
      <c r="C18" s="177">
        <f>'Income Statement'!C29</f>
        <v>3476</v>
      </c>
      <c r="D18" s="177">
        <f>'Income Statement'!D29</f>
        <v>4225</v>
      </c>
      <c r="E18" s="177">
        <f>'Income Statement'!E29</f>
        <v>4678</v>
      </c>
      <c r="F18" s="177">
        <f>'Income Statement'!F29</f>
        <v>4812</v>
      </c>
      <c r="G18" s="177">
        <f>'Income Statement'!G29</f>
        <v>4902</v>
      </c>
      <c r="H18" s="177">
        <f ca="1">'Income Statement'!H29</f>
        <v>3083.6</v>
      </c>
      <c r="I18" s="177">
        <f ca="1">'Income Statement'!I29</f>
        <v>3083.6</v>
      </c>
      <c r="J18" s="177">
        <f ca="1">'Income Statement'!J29</f>
        <v>3083.6</v>
      </c>
      <c r="K18" s="177">
        <f ca="1">'Income Statement'!K29</f>
        <v>3206.944</v>
      </c>
      <c r="L18" s="177">
        <f ca="1">'Income Statement'!L29</f>
        <v>3206.944</v>
      </c>
      <c r="M18" s="177">
        <f ca="1">'Income Statement'!M29</f>
        <v>3206.944</v>
      </c>
      <c r="N18" s="177">
        <f ca="1">'Income Statement'!N29</f>
        <v>3335.22176</v>
      </c>
      <c r="O18" s="177">
        <f ca="1">'Income Statement'!O29</f>
        <v>3335.22176</v>
      </c>
      <c r="P18" s="177">
        <f ca="1">'Income Statement'!P29</f>
        <v>3335.22176</v>
      </c>
      <c r="Q18" s="177">
        <f ca="1">'Income Statement'!Q29</f>
        <v>3468.6306304</v>
      </c>
    </row>
    <row r="19" ht="14.25" customHeight="1" spans="2:17">
      <c r="B19" s="181" t="s">
        <v>99</v>
      </c>
      <c r="C19" s="182">
        <f t="shared" ref="C19:Q19" si="4">C16-C18</f>
        <v>28015</v>
      </c>
      <c r="D19" s="182">
        <f t="shared" si="4"/>
        <v>30905</v>
      </c>
      <c r="E19" s="182">
        <f t="shared" si="4"/>
        <v>31747</v>
      </c>
      <c r="F19" s="182">
        <f t="shared" si="4"/>
        <v>34424</v>
      </c>
      <c r="G19" s="182">
        <f t="shared" si="4"/>
        <v>37378</v>
      </c>
      <c r="H19" s="182">
        <f ca="1" t="shared" si="4"/>
        <v>32850.585688407</v>
      </c>
      <c r="I19" s="182">
        <f ca="1" t="shared" si="4"/>
        <v>36274.683967402</v>
      </c>
      <c r="J19" s="182">
        <f ca="1" t="shared" si="4"/>
        <v>39664.790725519</v>
      </c>
      <c r="K19" s="182">
        <f ca="1" t="shared" si="4"/>
        <v>42836.989581813</v>
      </c>
      <c r="L19" s="182">
        <f ca="1" t="shared" si="4"/>
        <v>45974.821105532</v>
      </c>
      <c r="M19" s="182">
        <f ca="1" t="shared" si="4"/>
        <v>48890.933697118</v>
      </c>
      <c r="N19" s="182">
        <f ca="1" t="shared" si="4"/>
        <v>51394.024205103</v>
      </c>
      <c r="O19" s="182">
        <f ca="1" t="shared" si="4"/>
        <v>53680.517453782</v>
      </c>
      <c r="P19" s="182">
        <f ca="1" t="shared" si="4"/>
        <v>55566.823987914</v>
      </c>
      <c r="Q19" s="182">
        <f ca="1" t="shared" si="4"/>
        <v>56870.919707585</v>
      </c>
    </row>
    <row r="20" ht="14.25" customHeight="1" spans="2:17">
      <c r="B20" s="178" t="s">
        <v>403</v>
      </c>
      <c r="C20" s="179"/>
      <c r="D20" s="180">
        <f t="shared" ref="D20:Q20" si="5">IFERROR((D19-C19)/C19,"N/A")</f>
        <v>0.103159021952525</v>
      </c>
      <c r="E20" s="180">
        <f t="shared" si="5"/>
        <v>0.0272447823976703</v>
      </c>
      <c r="F20" s="180">
        <f t="shared" si="5"/>
        <v>0.0843229281506914</v>
      </c>
      <c r="G20" s="180">
        <f t="shared" si="5"/>
        <v>0.0858122240297467</v>
      </c>
      <c r="H20" s="180">
        <f ca="1" t="shared" si="5"/>
        <v>-0.121125108662663</v>
      </c>
      <c r="I20" s="180">
        <f ca="1" t="shared" si="5"/>
        <v>0.104232488013247</v>
      </c>
      <c r="J20" s="180">
        <f ca="1" t="shared" si="5"/>
        <v>0.0934565484061411</v>
      </c>
      <c r="K20" s="180">
        <f ca="1" t="shared" si="5"/>
        <v>0.0799751819755122</v>
      </c>
      <c r="L20" s="180">
        <f ca="1" t="shared" si="5"/>
        <v>0.0732505144351045</v>
      </c>
      <c r="M20" s="180">
        <f ca="1" t="shared" si="5"/>
        <v>0.063428470659892</v>
      </c>
      <c r="N20" s="180">
        <f ca="1" t="shared" si="5"/>
        <v>0.0511974372077207</v>
      </c>
      <c r="O20" s="180">
        <f ca="1" t="shared" si="5"/>
        <v>0.0444894768223251</v>
      </c>
      <c r="P20" s="180">
        <f ca="1" t="shared" si="5"/>
        <v>0.0351394998335499</v>
      </c>
      <c r="Q20" s="180">
        <f ca="1" t="shared" si="5"/>
        <v>0.0234689627025398</v>
      </c>
    </row>
    <row r="21" ht="14.25" customHeight="1" spans="2:17">
      <c r="B21" s="176" t="s">
        <v>407</v>
      </c>
      <c r="C21" s="177">
        <f>'Income Statement'!C34</f>
        <v>200</v>
      </c>
      <c r="D21" s="177">
        <f>'Income Statement'!D34</f>
        <v>284</v>
      </c>
      <c r="E21" s="177">
        <f>'Income Statement'!E34</f>
        <v>470</v>
      </c>
      <c r="F21" s="177">
        <f>'Income Statement'!F34</f>
        <v>416</v>
      </c>
      <c r="G21" s="177">
        <f>'Income Statement'!G34</f>
        <v>416</v>
      </c>
      <c r="H21" s="177">
        <f>'Income Statement'!H34</f>
        <v>8727.00508502663</v>
      </c>
      <c r="I21" s="177">
        <f>'Income Statement'!I34</f>
        <v>9558.58433247446</v>
      </c>
      <c r="J21" s="177">
        <f>'Income Statement'!J34</f>
        <v>10381.9083719676</v>
      </c>
      <c r="K21" s="177">
        <f>'Income Statement'!K34</f>
        <v>11182.2665466091</v>
      </c>
      <c r="L21" s="177">
        <f>'Income Statement'!L34</f>
        <v>11944.3228208462</v>
      </c>
      <c r="M21" s="177">
        <f>'Income Statement'!M34</f>
        <v>12652.5322578418</v>
      </c>
      <c r="N21" s="177">
        <f>'Income Statement'!N34</f>
        <v>13291.5884606012</v>
      </c>
      <c r="O21" s="177">
        <f>'Income Statement'!O34</f>
        <v>13846.8880402586</v>
      </c>
      <c r="P21" s="177">
        <f>'Income Statement'!P34</f>
        <v>14304.9979542559</v>
      </c>
      <c r="Q21" s="177">
        <f>'Income Statement'!Q34</f>
        <v>14654.1114690599</v>
      </c>
    </row>
    <row r="22" ht="14.25" customHeight="1" spans="2:17">
      <c r="B22" s="181" t="s">
        <v>408</v>
      </c>
      <c r="C22" s="182">
        <f t="shared" ref="C22:Q22" si="6">C19-C21</f>
        <v>27815</v>
      </c>
      <c r="D22" s="182">
        <f t="shared" si="6"/>
        <v>30621</v>
      </c>
      <c r="E22" s="182">
        <f t="shared" si="6"/>
        <v>31277</v>
      </c>
      <c r="F22" s="182">
        <f t="shared" si="6"/>
        <v>34008</v>
      </c>
      <c r="G22" s="182">
        <f t="shared" si="6"/>
        <v>36962</v>
      </c>
      <c r="H22" s="182">
        <f ca="1" t="shared" si="6"/>
        <v>24123.5806033804</v>
      </c>
      <c r="I22" s="182">
        <f ca="1" t="shared" si="6"/>
        <v>26716.0996349275</v>
      </c>
      <c r="J22" s="182">
        <f ca="1" t="shared" si="6"/>
        <v>29282.8823535514</v>
      </c>
      <c r="K22" s="182">
        <f ca="1" t="shared" si="6"/>
        <v>31654.7230352039</v>
      </c>
      <c r="L22" s="182">
        <f ca="1" t="shared" si="6"/>
        <v>34030.4982846858</v>
      </c>
      <c r="M22" s="182">
        <f ca="1" t="shared" si="6"/>
        <v>36238.4014392762</v>
      </c>
      <c r="N22" s="182">
        <f ca="1" t="shared" si="6"/>
        <v>38102.4357445018</v>
      </c>
      <c r="O22" s="182">
        <f ca="1" t="shared" si="6"/>
        <v>39833.6294135234</v>
      </c>
      <c r="P22" s="182">
        <f ca="1" t="shared" si="6"/>
        <v>41261.8260336581</v>
      </c>
      <c r="Q22" s="182">
        <f ca="1" t="shared" si="6"/>
        <v>42216.8082385251</v>
      </c>
    </row>
    <row r="23" s="172" customFormat="1" ht="14.25" customHeight="1" spans="2:17">
      <c r="B23" s="178" t="s">
        <v>403</v>
      </c>
      <c r="C23" s="179"/>
      <c r="D23" s="180">
        <f t="shared" ref="D23:Q23" si="7">IFERROR((D22-C22)/C22,"N/A")</f>
        <v>0.1008808197016</v>
      </c>
      <c r="E23" s="180">
        <f t="shared" si="7"/>
        <v>0.0214232062963326</v>
      </c>
      <c r="F23" s="180">
        <f t="shared" si="7"/>
        <v>0.0873165584934616</v>
      </c>
      <c r="G23" s="180">
        <f t="shared" si="7"/>
        <v>0.0868619148435662</v>
      </c>
      <c r="H23" s="180">
        <f ca="1" t="shared" si="7"/>
        <v>-0.347341036648981</v>
      </c>
      <c r="I23" s="180">
        <f ca="1" t="shared" si="7"/>
        <v>0.107468251673382</v>
      </c>
      <c r="J23" s="180">
        <f ca="1" t="shared" si="7"/>
        <v>0.0960762519117174</v>
      </c>
      <c r="K23" s="180">
        <f ca="1" t="shared" si="7"/>
        <v>0.0809975142820882</v>
      </c>
      <c r="L23" s="180">
        <f ca="1" t="shared" si="7"/>
        <v>0.0750527890210809</v>
      </c>
      <c r="M23" s="180">
        <f ca="1" t="shared" si="7"/>
        <v>0.0648801300562798</v>
      </c>
      <c r="N23" s="180">
        <f ca="1" t="shared" si="7"/>
        <v>0.0514380941540468</v>
      </c>
      <c r="O23" s="180">
        <f ca="1" t="shared" si="7"/>
        <v>0.0454352493533528</v>
      </c>
      <c r="P23" s="180">
        <f ca="1" t="shared" si="7"/>
        <v>0.0358540419530508</v>
      </c>
      <c r="Q23" s="180">
        <f ca="1" t="shared" si="7"/>
        <v>0.023144448432504</v>
      </c>
    </row>
    <row r="24" ht="14.25" customHeight="1" spans="2:17">
      <c r="B24" s="176" t="s">
        <v>409</v>
      </c>
      <c r="C24" s="177">
        <f>'Income Statement'!C42</f>
        <v>7964</v>
      </c>
      <c r="D24" s="177">
        <f>'Income Statement'!D42</f>
        <v>9214</v>
      </c>
      <c r="E24" s="177">
        <f>'Income Statement'!E42</f>
        <v>9740</v>
      </c>
      <c r="F24" s="177">
        <f>'Income Statement'!F42</f>
        <v>10858</v>
      </c>
      <c r="G24" s="177">
        <f>'Income Statement'!G42</f>
        <v>10521</v>
      </c>
      <c r="H24" s="177">
        <f ca="1">'Income Statement'!H42</f>
        <v>17833.8320246743</v>
      </c>
      <c r="I24" s="177">
        <f ca="1">'Income Statement'!I42</f>
        <v>19832.4914655094</v>
      </c>
      <c r="J24" s="177">
        <f ca="1">'Income Statement'!J42</f>
        <v>21853.1930683946</v>
      </c>
      <c r="K24" s="177">
        <f ca="1">'Income Statement'!K42</f>
        <v>23828.9050144003</v>
      </c>
      <c r="L24" s="177">
        <f ca="1">'Income Statement'!L42</f>
        <v>25791.190372263</v>
      </c>
      <c r="M24" s="177">
        <f ca="1">'Income Statement'!M42</f>
        <v>27668.6218163615</v>
      </c>
      <c r="N24" s="177">
        <f ca="1">'Income Statement'!N42</f>
        <v>29385.9361301515</v>
      </c>
      <c r="O24" s="177">
        <f ca="1">'Income Statement'!O42</f>
        <v>30976.9458262822</v>
      </c>
      <c r="P24" s="177">
        <f ca="1">'Income Statement'!P42</f>
        <v>32368.2375750697</v>
      </c>
      <c r="Q24" s="177">
        <f ca="1">'Income Statement'!Q42</f>
        <v>33485.8890011366</v>
      </c>
    </row>
    <row r="25" ht="14.25" customHeight="1" spans="2:17">
      <c r="B25" s="181" t="s">
        <v>410</v>
      </c>
      <c r="C25" s="182">
        <f t="shared" ref="C25:Q25" si="8">C22-C24</f>
        <v>19851</v>
      </c>
      <c r="D25" s="182">
        <f t="shared" si="8"/>
        <v>21407</v>
      </c>
      <c r="E25" s="182">
        <f t="shared" si="8"/>
        <v>21537</v>
      </c>
      <c r="F25" s="182">
        <f t="shared" si="8"/>
        <v>23150</v>
      </c>
      <c r="G25" s="182">
        <f t="shared" si="8"/>
        <v>26441</v>
      </c>
      <c r="H25" s="182">
        <f ca="1" t="shared" si="8"/>
        <v>6289.74857870611</v>
      </c>
      <c r="I25" s="182">
        <f ca="1" t="shared" si="8"/>
        <v>6883.6081694181</v>
      </c>
      <c r="J25" s="182">
        <f ca="1" t="shared" si="8"/>
        <v>7429.68928515675</v>
      </c>
      <c r="K25" s="182">
        <f ca="1" t="shared" si="8"/>
        <v>7825.81802080362</v>
      </c>
      <c r="L25" s="182">
        <f ca="1" t="shared" si="8"/>
        <v>8239.30791242282</v>
      </c>
      <c r="M25" s="182">
        <f ca="1" t="shared" si="8"/>
        <v>8569.77962291472</v>
      </c>
      <c r="N25" s="182">
        <f ca="1" t="shared" si="8"/>
        <v>8716.4996143503</v>
      </c>
      <c r="O25" s="182">
        <f ca="1" t="shared" si="8"/>
        <v>8856.68358724118</v>
      </c>
      <c r="P25" s="182">
        <f ca="1" t="shared" si="8"/>
        <v>8893.58845858839</v>
      </c>
      <c r="Q25" s="182">
        <f ca="1" t="shared" si="8"/>
        <v>8730.91923738853</v>
      </c>
    </row>
    <row r="26" ht="14.25" customHeight="1" spans="2:17">
      <c r="B26" s="178" t="s">
        <v>403</v>
      </c>
      <c r="C26" s="179"/>
      <c r="D26" s="180">
        <f t="shared" ref="D26:Q26" si="9">IFERROR((D25-C25)/C25,"N/A")</f>
        <v>0.078383960505768</v>
      </c>
      <c r="E26" s="180">
        <f t="shared" si="9"/>
        <v>0.00607277993179801</v>
      </c>
      <c r="F26" s="180">
        <f t="shared" si="9"/>
        <v>0.0748943678321029</v>
      </c>
      <c r="G26" s="180">
        <f t="shared" si="9"/>
        <v>0.142159827213823</v>
      </c>
      <c r="H26" s="180">
        <f ca="1" t="shared" si="9"/>
        <v>-0.76212138048084</v>
      </c>
      <c r="I26" s="180">
        <f ca="1" t="shared" si="9"/>
        <v>0.0944170634614082</v>
      </c>
      <c r="J26" s="180">
        <f ca="1" t="shared" si="9"/>
        <v>0.0793306507718923</v>
      </c>
      <c r="K26" s="180">
        <f ca="1" t="shared" si="9"/>
        <v>0.0533169989272995</v>
      </c>
      <c r="L26" s="180">
        <f ca="1" t="shared" si="9"/>
        <v>0.0528366351632514</v>
      </c>
      <c r="M26" s="180">
        <f ca="1" t="shared" si="9"/>
        <v>0.0401091589250635</v>
      </c>
      <c r="N26" s="180">
        <f ca="1" t="shared" si="9"/>
        <v>0.0171206259544013</v>
      </c>
      <c r="O26" s="180">
        <f ca="1" t="shared" si="9"/>
        <v>0.0160825995632576</v>
      </c>
      <c r="P26" s="180">
        <f ca="1" t="shared" si="9"/>
        <v>0.00416689508930587</v>
      </c>
      <c r="Q26" s="180">
        <f ca="1" t="shared" si="9"/>
        <v>-0.0182906171066164</v>
      </c>
    </row>
    <row r="27" ht="14.25" customHeight="1" spans="2:17">
      <c r="B27" s="181" t="s">
        <v>411</v>
      </c>
      <c r="C27" s="180">
        <f t="shared" ref="C27:Q27" si="10">IFERROR(C25/C11,"N/A")</f>
        <v>0.163193331195896</v>
      </c>
      <c r="D27" s="180">
        <f t="shared" si="10"/>
        <v>0.145857038707611</v>
      </c>
      <c r="E27" s="180">
        <f t="shared" si="10"/>
        <v>0.140150972863929</v>
      </c>
      <c r="F27" s="180">
        <f t="shared" si="10"/>
        <v>0.142033253573839</v>
      </c>
      <c r="G27" s="180">
        <f t="shared" si="10"/>
        <v>0.148004478029667</v>
      </c>
      <c r="H27" s="180">
        <f ca="1" t="shared" si="10"/>
        <v>0.034141448396475</v>
      </c>
      <c r="I27" s="180">
        <f ca="1" t="shared" si="10"/>
        <v>0.0341142988729496</v>
      </c>
      <c r="J27" s="180">
        <f ca="1" t="shared" si="10"/>
        <v>0.0339005968830365</v>
      </c>
      <c r="K27" s="180">
        <f ca="1" t="shared" si="10"/>
        <v>0.0331523095912437</v>
      </c>
      <c r="L27" s="180">
        <f ca="1" t="shared" si="10"/>
        <v>0.0326770682667823</v>
      </c>
      <c r="M27" s="180">
        <f ca="1" t="shared" si="10"/>
        <v>0.03208529860716</v>
      </c>
      <c r="N27" s="180">
        <f ca="1" t="shared" si="10"/>
        <v>0.0310655547969247</v>
      </c>
      <c r="O27" s="180">
        <f ca="1" t="shared" si="10"/>
        <v>0.0302993166254009</v>
      </c>
      <c r="P27" s="180">
        <f ca="1" t="shared" si="10"/>
        <v>0.0294512080587518</v>
      </c>
      <c r="Q27" s="180">
        <f ca="1" t="shared" si="10"/>
        <v>0.0282237271493538</v>
      </c>
    </row>
    <row r="28" ht="14.25" customHeight="1" spans="2:17">
      <c r="B28" s="176" t="s">
        <v>412</v>
      </c>
      <c r="C28" s="183">
        <f>'Income Statement'!C46</f>
        <v>52.609573583561</v>
      </c>
      <c r="D28" s="183">
        <f>'Income Statement'!D46</f>
        <v>57.2704596745457</v>
      </c>
      <c r="E28" s="183">
        <f>'Income Statement'!E46</f>
        <v>62.3541988359663</v>
      </c>
      <c r="F28" s="183">
        <f>'Income Statement'!F46</f>
        <v>63.5467395177575</v>
      </c>
      <c r="G28" s="183">
        <f>'Income Statement'!G46</f>
        <v>70.0178168428555</v>
      </c>
      <c r="H28" s="183">
        <f ca="1">'Income Statement'!H46</f>
        <v>15937.2528028283</v>
      </c>
      <c r="I28" s="183">
        <f ca="1">'Income Statement'!I46</f>
        <v>17454.1077542127</v>
      </c>
      <c r="J28" s="183">
        <f ca="1">'Income Statement'!J46</f>
        <v>18942.3364614193</v>
      </c>
      <c r="K28" s="183">
        <f ca="1">'Income Statement'!K46</f>
        <v>20345.4093581091</v>
      </c>
      <c r="L28" s="183">
        <f ca="1">'Income Statement'!L46</f>
        <v>21693.1023123723</v>
      </c>
      <c r="M28" s="183">
        <f ca="1">'Income Statement'!M46</f>
        <v>22928.1383417292</v>
      </c>
      <c r="N28" s="183">
        <f ca="1">'Income Statement'!N46</f>
        <v>23993.5056458694</v>
      </c>
      <c r="O28" s="183">
        <f ca="1">'Income Statement'!O46</f>
        <v>24923.3548370304</v>
      </c>
      <c r="P28" s="183">
        <f ca="1">'Income Statement'!P46</f>
        <v>25664.950564784</v>
      </c>
      <c r="Q28" s="183">
        <f ca="1">'Income Statement'!Q46</f>
        <v>26168.2928927084</v>
      </c>
    </row>
  </sheetData>
  <mergeCells count="4">
    <mergeCell ref="P6:Q6"/>
    <mergeCell ref="B7:Q7"/>
    <mergeCell ref="B8:B9"/>
    <mergeCell ref="B3:D5"/>
  </mergeCells>
  <pageMargins left="0.7" right="0.7" top="0.75" bottom="0.75" header="0.511811023622047" footer="0.511811023622047"/>
  <pageSetup paperSize="9" orientation="portrait" horizontalDpi="300" verticalDpi="300"/>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
  <sheetViews>
    <sheetView showGridLines="0" zoomScale="88" zoomScaleNormal="88" workbookViewId="0">
      <selection activeCell="C8" sqref="C8"/>
    </sheetView>
  </sheetViews>
  <sheetFormatPr defaultColWidth="8.83333333333333" defaultRowHeight="14.4"/>
  <sheetData/>
  <pageMargins left="0.7" right="0.7" top="0.75" bottom="0.75" header="0.511811023622047" footer="0.511811023622047"/>
  <pageSetup paperSize="9" orientation="portrait" horizontalDpi="300" verticalDpi="300"/>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N697"/>
  <sheetViews>
    <sheetView showGridLines="0" zoomScale="81" zoomScaleNormal="81" workbookViewId="0">
      <selection activeCell="I31" sqref="I31"/>
    </sheetView>
  </sheetViews>
  <sheetFormatPr defaultColWidth="8.89814814814815" defaultRowHeight="14.4"/>
  <cols>
    <col min="1" max="1" width="2.66666666666667" style="118" customWidth="1"/>
    <col min="2" max="5" width="25.3333333333333" style="119" customWidth="1"/>
    <col min="6" max="6" width="25.3333333333333" style="120" customWidth="1"/>
    <col min="7" max="7" width="13.2222222222222" style="118" customWidth="1"/>
    <col min="8" max="8" width="11.7685185185185" style="118" customWidth="1"/>
    <col min="9" max="9" width="13.4444444444444" style="118" customWidth="1"/>
    <col min="10" max="10" width="14.1111111111111" style="118" customWidth="1"/>
    <col min="11" max="11" width="10" style="118" customWidth="1"/>
    <col min="12" max="12" width="11.1111111111111" style="118" customWidth="1"/>
    <col min="13" max="13" width="9.66666666666667" style="118" customWidth="1"/>
    <col min="14" max="16384" width="8.89814814814815" style="121"/>
  </cols>
  <sheetData>
    <row r="1" ht="14.25" customHeight="1" spans="1:14">
      <c r="A1" s="122" t="s">
        <v>21</v>
      </c>
      <c r="B1" s="122"/>
      <c r="C1" s="122"/>
      <c r="D1" s="122"/>
      <c r="E1" s="122"/>
      <c r="F1" s="122"/>
      <c r="G1" s="122"/>
      <c r="H1" s="122"/>
      <c r="I1" s="122"/>
      <c r="J1" s="122"/>
      <c r="K1" s="121"/>
      <c r="L1" s="135"/>
    </row>
    <row r="2" s="121" customFormat="1" ht="14.25" customHeight="1" spans="1:14">
      <c r="A2" s="122"/>
      <c r="B2" s="122"/>
      <c r="C2" s="122"/>
      <c r="D2" s="122"/>
      <c r="E2" s="122"/>
      <c r="F2" s="122"/>
      <c r="G2" s="122"/>
      <c r="H2" s="122"/>
      <c r="I2" s="122"/>
      <c r="J2" s="122"/>
      <c r="L2" s="135"/>
      <c r="M2" s="135"/>
    </row>
    <row r="3" s="121" customFormat="1" ht="14.25" customHeight="1" spans="1:14">
      <c r="A3" s="122"/>
      <c r="B3" s="122"/>
      <c r="C3" s="122"/>
      <c r="D3" s="122"/>
      <c r="E3" s="122"/>
      <c r="F3" s="122"/>
      <c r="G3" s="122"/>
      <c r="H3" s="122"/>
      <c r="I3" s="122"/>
      <c r="J3" s="122"/>
      <c r="L3" s="135"/>
      <c r="M3" s="135"/>
    </row>
    <row r="4" s="121" customFormat="1" ht="14.25" customHeight="1" spans="1:14">
      <c r="A4" s="122"/>
      <c r="B4" s="122"/>
      <c r="C4" s="122"/>
      <c r="D4" s="122"/>
      <c r="E4" s="122"/>
      <c r="F4" s="122"/>
      <c r="G4" s="122"/>
      <c r="H4" s="122"/>
      <c r="I4" s="122"/>
      <c r="J4" s="122"/>
      <c r="L4" s="135"/>
      <c r="M4" s="135"/>
    </row>
    <row r="5" ht="16.5" customHeight="1" spans="1:14">
      <c r="I5" s="139"/>
      <c r="J5" s="140"/>
      <c r="K5" s="137"/>
      <c r="L5" s="135"/>
      <c r="M5" s="135"/>
      <c r="N5" s="141"/>
    </row>
    <row r="6" ht="14.25" customHeight="1" spans="1:14">
      <c r="H6" s="121"/>
      <c r="I6" s="121"/>
      <c r="J6" s="140"/>
      <c r="K6" s="142"/>
      <c r="L6" s="143"/>
      <c r="M6" s="135"/>
      <c r="N6" s="144"/>
    </row>
    <row r="7" ht="14.25" customHeight="1" spans="1:14">
      <c r="B7" s="145" t="s">
        <v>394</v>
      </c>
      <c r="C7" s="146" t="s">
        <v>21</v>
      </c>
      <c r="D7" s="145" t="s">
        <v>413</v>
      </c>
      <c r="E7" s="147" t="s">
        <v>414</v>
      </c>
      <c r="F7" s="148" t="s">
        <v>413</v>
      </c>
      <c r="H7" s="142"/>
      <c r="I7" s="143"/>
      <c r="J7" s="140"/>
      <c r="K7" s="142"/>
      <c r="L7" s="143"/>
      <c r="M7" s="135"/>
      <c r="N7" s="144"/>
    </row>
    <row r="8" ht="14.25" customHeight="1" spans="1:14">
      <c r="B8" s="127">
        <v>46307</v>
      </c>
      <c r="C8" s="149">
        <v>1020</v>
      </c>
      <c r="D8" s="150"/>
      <c r="E8" s="149">
        <v>22363.35</v>
      </c>
      <c r="F8" s="151"/>
      <c r="H8" s="142"/>
      <c r="I8" s="143"/>
      <c r="J8" s="140"/>
      <c r="K8" s="152"/>
      <c r="L8" s="152"/>
      <c r="M8" s="135"/>
      <c r="N8" s="144"/>
    </row>
    <row r="9" ht="14.25" customHeight="1" spans="1:14">
      <c r="B9" s="127">
        <v>46304</v>
      </c>
      <c r="C9" s="149">
        <v>1023.4</v>
      </c>
      <c r="D9" s="129">
        <f>C8/C9-1</f>
        <v>-0.00332225913621265</v>
      </c>
      <c r="E9" s="149">
        <v>22520.45</v>
      </c>
      <c r="F9" s="153">
        <f>E8/E9-1</f>
        <v>-0.00697588192065446</v>
      </c>
      <c r="H9" s="142"/>
      <c r="I9" s="143"/>
      <c r="J9" s="140"/>
      <c r="K9" s="152"/>
      <c r="L9" s="152"/>
      <c r="M9" s="135"/>
      <c r="N9" s="144"/>
    </row>
    <row r="10" ht="14.25" customHeight="1" spans="1:14">
      <c r="B10" s="127">
        <v>46303</v>
      </c>
      <c r="C10" s="149">
        <v>997</v>
      </c>
      <c r="D10" s="129">
        <f t="shared" ref="D10:D24" si="0">C9/C10-1</f>
        <v>0.0264794383149447</v>
      </c>
      <c r="E10" s="149">
        <v>22231.8</v>
      </c>
      <c r="F10" s="153">
        <f t="shared" ref="F10:F16" si="1">E9/E10-1</f>
        <v>0.0129836540451067</v>
      </c>
      <c r="H10" s="142"/>
      <c r="I10" s="152"/>
      <c r="J10" s="140"/>
      <c r="K10" s="152"/>
      <c r="L10" s="152"/>
      <c r="M10" s="135"/>
      <c r="N10" s="144"/>
    </row>
    <row r="11" ht="14.25" customHeight="1" spans="1:14">
      <c r="B11" s="127">
        <v>46302</v>
      </c>
      <c r="C11" s="149">
        <v>992</v>
      </c>
      <c r="D11" s="129">
        <f t="shared" si="0"/>
        <v>0.00504032258064524</v>
      </c>
      <c r="E11" s="149">
        <v>22603.05</v>
      </c>
      <c r="F11" s="153">
        <f t="shared" si="1"/>
        <v>-0.0164247745326405</v>
      </c>
      <c r="H11" s="142"/>
      <c r="I11" s="152"/>
      <c r="J11" s="140"/>
      <c r="K11" s="152"/>
      <c r="L11" s="152"/>
      <c r="M11" s="135"/>
      <c r="N11" s="144"/>
    </row>
    <row r="12" ht="14.25" customHeight="1" spans="1:14">
      <c r="B12" s="127">
        <v>46301</v>
      </c>
      <c r="C12" s="149">
        <v>1013.85</v>
      </c>
      <c r="D12" s="129">
        <f t="shared" si="0"/>
        <v>-0.0215515115648272</v>
      </c>
      <c r="E12" s="149">
        <v>22776.1</v>
      </c>
      <c r="F12" s="153">
        <f t="shared" si="1"/>
        <v>-0.00759787672165113</v>
      </c>
      <c r="H12" s="142"/>
      <c r="I12" s="143"/>
      <c r="J12" s="140"/>
      <c r="K12" s="152"/>
      <c r="L12" s="152"/>
      <c r="M12" s="135"/>
      <c r="N12" s="144"/>
    </row>
    <row r="13" ht="14.25" customHeight="1" spans="1:14">
      <c r="B13" s="127">
        <v>46300</v>
      </c>
      <c r="C13" s="149">
        <v>1020.5</v>
      </c>
      <c r="D13" s="129">
        <f t="shared" si="0"/>
        <v>-0.00651641352278298</v>
      </c>
      <c r="E13" s="149">
        <v>22555.75</v>
      </c>
      <c r="F13" s="153">
        <f t="shared" si="1"/>
        <v>0.00976912760604276</v>
      </c>
      <c r="H13" s="142"/>
      <c r="I13" s="143"/>
      <c r="J13" s="140"/>
      <c r="K13" s="152"/>
      <c r="L13" s="152"/>
      <c r="M13" s="135"/>
      <c r="N13" s="144"/>
    </row>
    <row r="14" ht="14.25" customHeight="1" spans="1:14">
      <c r="B14" s="127">
        <v>46296</v>
      </c>
      <c r="C14" s="149">
        <v>1035</v>
      </c>
      <c r="D14" s="129">
        <f t="shared" si="0"/>
        <v>-0.0140096618357488</v>
      </c>
      <c r="E14" s="149">
        <v>22421.95</v>
      </c>
      <c r="F14" s="153">
        <f t="shared" si="1"/>
        <v>0.00596736679905185</v>
      </c>
      <c r="I14" s="135"/>
      <c r="J14" s="140"/>
      <c r="K14" s="152"/>
      <c r="L14" s="143"/>
      <c r="M14" s="135"/>
      <c r="N14" s="144"/>
    </row>
    <row r="15" ht="14.25" customHeight="1" spans="1:14">
      <c r="B15" s="127">
        <v>46295</v>
      </c>
      <c r="C15" s="149">
        <v>994.1</v>
      </c>
      <c r="D15" s="129">
        <f t="shared" si="0"/>
        <v>0.0411427421788553</v>
      </c>
      <c r="E15" s="149">
        <v>22620.45</v>
      </c>
      <c r="F15" s="153">
        <f t="shared" si="1"/>
        <v>-0.00877524540846886</v>
      </c>
      <c r="I15" s="135"/>
      <c r="J15" s="140"/>
      <c r="K15" s="152"/>
      <c r="L15" s="143"/>
      <c r="M15" s="135"/>
      <c r="N15" s="144"/>
    </row>
    <row r="16" ht="14.25" customHeight="1" spans="1:14">
      <c r="B16" s="127">
        <v>46294</v>
      </c>
      <c r="C16" s="149">
        <v>1015.4</v>
      </c>
      <c r="D16" s="129">
        <f t="shared" si="0"/>
        <v>-0.0209769548946228</v>
      </c>
      <c r="E16" s="149">
        <v>22716.2</v>
      </c>
      <c r="F16" s="153">
        <f t="shared" si="1"/>
        <v>-0.00421505357410135</v>
      </c>
      <c r="I16" s="135"/>
      <c r="J16" s="140"/>
      <c r="K16" s="152"/>
      <c r="L16" s="143"/>
      <c r="M16" s="135"/>
      <c r="N16" s="144"/>
    </row>
    <row r="17" ht="14.25" customHeight="1" spans="2:14">
      <c r="B17" s="127">
        <v>46293</v>
      </c>
      <c r="C17" s="149">
        <v>1003.2</v>
      </c>
      <c r="D17" s="129">
        <f t="shared" si="0"/>
        <v>0.0121610845295055</v>
      </c>
      <c r="E17" s="149">
        <v>22780.25</v>
      </c>
      <c r="F17" s="153">
        <f t="shared" ref="F15:F25" si="2">E16/E17-1</f>
        <v>-0.00281164605305029</v>
      </c>
      <c r="I17" s="135"/>
      <c r="J17" s="140"/>
      <c r="K17" s="137"/>
      <c r="L17" s="135"/>
      <c r="M17" s="135"/>
      <c r="N17" s="144"/>
    </row>
    <row r="18" ht="14.25" customHeight="1" spans="2:14">
      <c r="B18" s="127">
        <v>46290</v>
      </c>
      <c r="C18" s="149">
        <v>1000.2</v>
      </c>
      <c r="D18" s="129">
        <f t="shared" si="0"/>
        <v>0.00299940011997601</v>
      </c>
      <c r="E18" s="149">
        <v>23140.5</v>
      </c>
      <c r="F18" s="153">
        <f t="shared" si="2"/>
        <v>-0.0155679436485815</v>
      </c>
      <c r="H18" s="152"/>
      <c r="I18" s="152"/>
      <c r="J18" s="140"/>
      <c r="K18" s="137"/>
      <c r="L18" s="135"/>
      <c r="M18" s="135"/>
      <c r="N18" s="144"/>
    </row>
    <row r="19" ht="14.25" customHeight="1" spans="2:14">
      <c r="B19" s="127">
        <v>46289</v>
      </c>
      <c r="C19" s="149">
        <v>1014.5</v>
      </c>
      <c r="D19" s="129">
        <f t="shared" si="0"/>
        <v>-0.0140956136027599</v>
      </c>
      <c r="E19" s="149">
        <v>23063.1</v>
      </c>
      <c r="F19" s="153">
        <f t="shared" si="2"/>
        <v>0.00335601025013998</v>
      </c>
      <c r="H19" s="152"/>
      <c r="I19" s="143"/>
      <c r="J19" s="140"/>
      <c r="K19" s="137"/>
      <c r="L19" s="135"/>
      <c r="M19" s="135"/>
      <c r="N19" s="144"/>
    </row>
    <row r="20" ht="14.25" customHeight="1" spans="2:14">
      <c r="B20" s="127">
        <v>46288</v>
      </c>
      <c r="C20" s="149">
        <v>1020.5</v>
      </c>
      <c r="D20" s="129">
        <f t="shared" si="0"/>
        <v>-0.00587947084762375</v>
      </c>
      <c r="E20" s="149">
        <v>23446.8</v>
      </c>
      <c r="F20" s="153">
        <f t="shared" si="2"/>
        <v>-0.016364706484467</v>
      </c>
      <c r="H20" s="152"/>
      <c r="I20" s="143"/>
      <c r="J20" s="140"/>
      <c r="K20" s="137"/>
      <c r="L20" s="135"/>
      <c r="M20" s="135"/>
      <c r="N20" s="144"/>
    </row>
    <row r="21" ht="14.25" customHeight="1" spans="2:14">
      <c r="B21" s="127">
        <v>46287</v>
      </c>
      <c r="C21" s="149">
        <v>1029.4</v>
      </c>
      <c r="D21" s="129">
        <f t="shared" si="0"/>
        <v>-0.00864581309500689</v>
      </c>
      <c r="E21" s="149">
        <v>23329</v>
      </c>
      <c r="F21" s="153">
        <f t="shared" si="2"/>
        <v>0.00504950919456459</v>
      </c>
      <c r="H21" s="154" t="s">
        <v>415</v>
      </c>
      <c r="I21" s="155">
        <f>MIN(C8:C93)</f>
        <v>992</v>
      </c>
      <c r="J21" s="140"/>
      <c r="K21" s="140"/>
      <c r="L21" s="135"/>
      <c r="M21" s="135"/>
      <c r="N21" s="144"/>
    </row>
    <row r="22" ht="14.25" customHeight="1" spans="2:14">
      <c r="B22" s="127">
        <v>46286</v>
      </c>
      <c r="C22" s="149">
        <v>1038.5</v>
      </c>
      <c r="D22" s="129">
        <f t="shared" si="0"/>
        <v>-0.00876263842079916</v>
      </c>
      <c r="E22" s="149">
        <v>23414.3</v>
      </c>
      <c r="F22" s="153">
        <f t="shared" si="2"/>
        <v>-0.00364307282301835</v>
      </c>
      <c r="I22" s="155"/>
      <c r="J22" s="140"/>
      <c r="K22" s="140"/>
      <c r="L22" s="135"/>
      <c r="M22" s="135"/>
      <c r="N22" s="144"/>
    </row>
    <row r="23" ht="14.25" customHeight="1" spans="2:14">
      <c r="B23" s="127">
        <v>46283</v>
      </c>
      <c r="C23" s="149">
        <v>1051.4</v>
      </c>
      <c r="D23" s="129">
        <f t="shared" si="0"/>
        <v>-0.0122693551455203</v>
      </c>
      <c r="E23" s="149">
        <v>23346.4</v>
      </c>
      <c r="F23" s="153">
        <f t="shared" si="2"/>
        <v>0.00290837131206523</v>
      </c>
      <c r="H23" s="154" t="s">
        <v>416</v>
      </c>
      <c r="I23" s="140">
        <f>MAX(C8:C93)</f>
        <v>1992.1</v>
      </c>
      <c r="J23" s="140"/>
      <c r="K23" s="140"/>
      <c r="L23" s="135"/>
      <c r="M23" s="135"/>
      <c r="N23" s="144"/>
    </row>
    <row r="24" ht="13" customHeight="1" spans="2:14">
      <c r="B24" s="127">
        <v>46282</v>
      </c>
      <c r="C24" s="149">
        <v>1058.6</v>
      </c>
      <c r="D24" s="129">
        <f t="shared" si="0"/>
        <v>-0.00680143585868109</v>
      </c>
      <c r="E24" s="149">
        <v>23270.6</v>
      </c>
      <c r="F24" s="153">
        <f t="shared" si="2"/>
        <v>0.00325732899022824</v>
      </c>
      <c r="H24" s="156"/>
      <c r="I24" s="140"/>
      <c r="J24" s="140"/>
      <c r="K24" s="140"/>
      <c r="L24" s="135"/>
      <c r="M24" s="135"/>
      <c r="N24" s="144"/>
    </row>
    <row r="25" ht="14.25" customHeight="1" spans="2:14">
      <c r="B25" s="127">
        <v>46281</v>
      </c>
      <c r="C25" s="149">
        <v>1060</v>
      </c>
      <c r="D25" s="129">
        <f t="shared" ref="D24:D87" si="3">C24/C25-1</f>
        <v>-0.00132075471698123</v>
      </c>
      <c r="E25" s="149">
        <v>23217.6</v>
      </c>
      <c r="F25" s="153">
        <f t="shared" si="2"/>
        <v>0.00228275101647024</v>
      </c>
      <c r="H25" s="157" t="s">
        <v>417</v>
      </c>
      <c r="I25" s="158" cm="1">
        <f t="array" ref="I25">_xlfn.COVARIANCE.S(D8:D448,F8:F448)</f>
        <v>5.4373834787116e-5</v>
      </c>
      <c r="J25" s="159" t="s">
        <v>418</v>
      </c>
      <c r="K25" s="158">
        <f>_xlfn.VAR.S(F18:F448)</f>
        <v>6.97144705148587e-5</v>
      </c>
      <c r="L25" s="137"/>
      <c r="M25" s="135"/>
      <c r="N25" s="144"/>
    </row>
    <row r="26" ht="14.25" customHeight="1" spans="2:14">
      <c r="B26" s="127">
        <v>46280</v>
      </c>
      <c r="C26" s="149">
        <v>1077</v>
      </c>
      <c r="D26" s="129">
        <f t="shared" si="3"/>
        <v>-0.0157845868152274</v>
      </c>
      <c r="E26" s="149">
        <v>23118.6</v>
      </c>
      <c r="F26" s="153">
        <f t="shared" ref="F19:F31" si="4">E25/E26-1</f>
        <v>0.00428226622719374</v>
      </c>
      <c r="L26" s="137"/>
      <c r="M26" s="135"/>
      <c r="N26" s="144"/>
    </row>
    <row r="27" ht="14.25" customHeight="1" spans="2:14">
      <c r="B27" s="127">
        <v>46276</v>
      </c>
      <c r="C27" s="149">
        <v>1037.7</v>
      </c>
      <c r="D27" s="129">
        <f t="shared" si="3"/>
        <v>0.0378722174038739</v>
      </c>
      <c r="E27" s="149">
        <v>23398.1</v>
      </c>
      <c r="F27" s="153">
        <f t="shared" si="4"/>
        <v>-0.0119454143712524</v>
      </c>
      <c r="H27" s="160" t="s">
        <v>419</v>
      </c>
      <c r="I27" s="161">
        <f>I25/K25</f>
        <v>0.779950480661356</v>
      </c>
      <c r="J27" s="130"/>
      <c r="K27" s="130"/>
      <c r="L27" s="137"/>
      <c r="M27" s="135"/>
      <c r="N27" s="144"/>
    </row>
    <row r="28" ht="14.25" customHeight="1" spans="2:14">
      <c r="B28" s="127">
        <v>46275</v>
      </c>
      <c r="C28" s="149">
        <v>1036.5</v>
      </c>
      <c r="D28" s="129">
        <f t="shared" si="3"/>
        <v>0.00115774240231548</v>
      </c>
      <c r="E28" s="149">
        <v>23477.8</v>
      </c>
      <c r="F28" s="153">
        <f t="shared" si="4"/>
        <v>-0.0033946962662601</v>
      </c>
      <c r="H28" s="156"/>
      <c r="I28" s="140"/>
      <c r="J28" s="140"/>
      <c r="K28" s="121"/>
      <c r="L28" s="137"/>
      <c r="M28" s="135"/>
      <c r="N28" s="144"/>
    </row>
    <row r="29" ht="14.25" customHeight="1" spans="2:14">
      <c r="B29" s="127">
        <v>46274</v>
      </c>
      <c r="C29" s="149">
        <v>1035</v>
      </c>
      <c r="D29" s="129">
        <f t="shared" si="3"/>
        <v>0.00144927536231876</v>
      </c>
      <c r="E29" s="149">
        <v>23431.5</v>
      </c>
      <c r="F29" s="153">
        <f t="shared" si="4"/>
        <v>0.00197597251563053</v>
      </c>
      <c r="H29" s="137"/>
      <c r="I29" s="135"/>
      <c r="J29" s="140"/>
      <c r="K29" s="142"/>
      <c r="L29" s="143"/>
      <c r="M29" s="135"/>
      <c r="N29" s="144"/>
    </row>
    <row r="30" ht="14.25" customHeight="1" spans="2:14">
      <c r="B30" s="127">
        <v>46273</v>
      </c>
      <c r="C30" s="149">
        <v>1082</v>
      </c>
      <c r="D30" s="129">
        <f t="shared" si="3"/>
        <v>-0.0434380776340111</v>
      </c>
      <c r="E30" s="149">
        <v>23635.1</v>
      </c>
      <c r="F30" s="153">
        <f t="shared" si="4"/>
        <v>-0.00861430668793439</v>
      </c>
      <c r="H30" s="137"/>
      <c r="I30" s="135"/>
      <c r="J30" s="140"/>
      <c r="K30" s="142"/>
      <c r="L30" s="143"/>
      <c r="M30" s="135"/>
      <c r="N30" s="144"/>
    </row>
    <row r="31" ht="14.25" customHeight="1" spans="2:14">
      <c r="B31" s="127">
        <v>46272</v>
      </c>
      <c r="C31" s="149">
        <v>1087.5</v>
      </c>
      <c r="D31" s="129">
        <f t="shared" si="3"/>
        <v>-0.00505747126436784</v>
      </c>
      <c r="E31" s="149">
        <v>23779.15</v>
      </c>
      <c r="F31" s="153">
        <f t="shared" si="4"/>
        <v>-0.00605782797114296</v>
      </c>
      <c r="H31" s="137"/>
      <c r="I31" s="135"/>
      <c r="J31" s="140"/>
      <c r="K31" s="152"/>
      <c r="L31" s="143"/>
      <c r="M31" s="135"/>
      <c r="N31" s="144"/>
    </row>
    <row r="32" ht="14.25" customHeight="1" spans="2:14">
      <c r="B32" s="127">
        <v>46269</v>
      </c>
      <c r="C32" s="149">
        <v>1840</v>
      </c>
      <c r="D32" s="129">
        <f t="shared" si="3"/>
        <v>-0.408967391304348</v>
      </c>
      <c r="E32" s="149">
        <v>23897.7</v>
      </c>
      <c r="F32" s="153">
        <f t="shared" ref="F24:F87" si="5">E31/E32-1</f>
        <v>-0.00496072843830153</v>
      </c>
      <c r="H32" s="156"/>
      <c r="I32" s="140"/>
      <c r="J32" s="140"/>
      <c r="K32" s="152"/>
      <c r="L32" s="143"/>
      <c r="N32" s="144"/>
    </row>
    <row r="33" ht="14.25" customHeight="1" spans="2:14">
      <c r="B33" s="127">
        <v>46268</v>
      </c>
      <c r="C33" s="149">
        <v>1869</v>
      </c>
      <c r="D33" s="129">
        <f t="shared" si="3"/>
        <v>-0.0155163188871054</v>
      </c>
      <c r="E33" s="149">
        <v>23873.45</v>
      </c>
      <c r="F33" s="153">
        <f t="shared" si="5"/>
        <v>0.00101577275173881</v>
      </c>
      <c r="K33" s="152"/>
      <c r="L33" s="143"/>
      <c r="N33" s="144"/>
    </row>
    <row r="34" ht="14.25" customHeight="1" spans="2:14">
      <c r="B34" s="127">
        <v>46267</v>
      </c>
      <c r="C34" s="149">
        <v>1862.8</v>
      </c>
      <c r="D34" s="129">
        <f t="shared" si="3"/>
        <v>0.00332832295469188</v>
      </c>
      <c r="E34" s="149">
        <v>23914.45</v>
      </c>
      <c r="F34" s="153">
        <f t="shared" si="5"/>
        <v>-0.00171444461403047</v>
      </c>
      <c r="K34" s="152"/>
      <c r="L34" s="143"/>
      <c r="M34" s="162"/>
      <c r="N34" s="144"/>
    </row>
    <row r="35" ht="14.25" customHeight="1" spans="2:14">
      <c r="B35" s="127">
        <v>46266</v>
      </c>
      <c r="C35" s="149">
        <v>1877.2</v>
      </c>
      <c r="D35" s="129">
        <f t="shared" si="3"/>
        <v>-0.00767099936075011</v>
      </c>
      <c r="E35" s="149">
        <v>24055.8</v>
      </c>
      <c r="F35" s="153">
        <f t="shared" si="5"/>
        <v>-0.00587592181511309</v>
      </c>
      <c r="L35" s="140"/>
      <c r="M35" s="162"/>
      <c r="N35" s="144"/>
    </row>
    <row r="36" ht="14.25" customHeight="1" spans="2:14">
      <c r="B36" s="127">
        <v>46265</v>
      </c>
      <c r="C36" s="149">
        <v>1811.9</v>
      </c>
      <c r="D36" s="129">
        <f t="shared" si="3"/>
        <v>0.0360395165296097</v>
      </c>
      <c r="E36" s="149">
        <v>24080.4</v>
      </c>
      <c r="F36" s="153">
        <f t="shared" si="5"/>
        <v>-0.00102157771465594</v>
      </c>
      <c r="L36" s="140"/>
      <c r="M36" s="162"/>
      <c r="N36" s="144"/>
    </row>
    <row r="37" ht="14.25" customHeight="1" spans="2:14">
      <c r="B37" s="127">
        <v>46262</v>
      </c>
      <c r="C37" s="149">
        <v>1882.4</v>
      </c>
      <c r="D37" s="129">
        <f t="shared" si="3"/>
        <v>-0.0374521886952827</v>
      </c>
      <c r="E37" s="149">
        <v>24175.65</v>
      </c>
      <c r="F37" s="153">
        <f t="shared" si="5"/>
        <v>-0.00393991474893129</v>
      </c>
      <c r="L37" s="140"/>
      <c r="M37" s="162"/>
      <c r="N37" s="141"/>
    </row>
    <row r="38" ht="14.25" customHeight="1" spans="2:14">
      <c r="B38" s="127">
        <v>46261</v>
      </c>
      <c r="C38" s="149">
        <v>1878.3</v>
      </c>
      <c r="D38" s="129">
        <f t="shared" si="3"/>
        <v>0.00218282489485189</v>
      </c>
      <c r="E38" s="149">
        <v>24090.85</v>
      </c>
      <c r="F38" s="153">
        <f t="shared" si="5"/>
        <v>0.0035200086339835</v>
      </c>
      <c r="L38" s="140"/>
      <c r="M38" s="162"/>
      <c r="N38" s="144"/>
    </row>
    <row r="39" ht="14.25" customHeight="1" spans="2:14">
      <c r="B39" s="127">
        <v>46260</v>
      </c>
      <c r="C39" s="149">
        <v>1902.1</v>
      </c>
      <c r="D39" s="129">
        <f t="shared" si="3"/>
        <v>-0.0125124861994638</v>
      </c>
      <c r="E39" s="149">
        <v>24207.75</v>
      </c>
      <c r="F39" s="153">
        <f t="shared" si="5"/>
        <v>-0.00482903202486817</v>
      </c>
      <c r="L39" s="140"/>
      <c r="M39" s="162"/>
      <c r="N39" s="141"/>
    </row>
    <row r="40" ht="14.25" customHeight="1" spans="2:14">
      <c r="B40" s="127">
        <v>46259</v>
      </c>
      <c r="C40" s="149">
        <v>1947</v>
      </c>
      <c r="D40" s="129">
        <f t="shared" si="3"/>
        <v>-0.0230611196712892</v>
      </c>
      <c r="E40" s="149">
        <v>24334.55</v>
      </c>
      <c r="F40" s="153">
        <f t="shared" si="5"/>
        <v>-0.00521069836919108</v>
      </c>
      <c r="L40" s="140"/>
      <c r="M40" s="162"/>
      <c r="N40" s="141"/>
    </row>
    <row r="41" ht="14.25" customHeight="1" spans="2:14">
      <c r="B41" s="127">
        <v>46258</v>
      </c>
      <c r="C41" s="149">
        <v>1935</v>
      </c>
      <c r="D41" s="129">
        <f t="shared" si="3"/>
        <v>0.00620155038759695</v>
      </c>
      <c r="E41" s="149">
        <v>24219.05</v>
      </c>
      <c r="F41" s="153">
        <f t="shared" si="5"/>
        <v>0.00476897318433211</v>
      </c>
      <c r="I41" s="163"/>
      <c r="J41" s="140"/>
      <c r="K41" s="140"/>
      <c r="L41" s="140"/>
      <c r="M41" s="162"/>
      <c r="N41" s="144"/>
    </row>
    <row r="42" ht="14.25" customHeight="1" spans="2:14">
      <c r="B42" s="127">
        <v>46255</v>
      </c>
      <c r="C42" s="149">
        <v>1946</v>
      </c>
      <c r="D42" s="129">
        <f t="shared" si="3"/>
        <v>-0.00565262076053441</v>
      </c>
      <c r="E42" s="149">
        <v>24252</v>
      </c>
      <c r="F42" s="153">
        <f t="shared" si="5"/>
        <v>-0.00135865083292097</v>
      </c>
      <c r="G42" s="164"/>
      <c r="H42" s="164"/>
      <c r="I42" s="163"/>
      <c r="J42" s="162"/>
      <c r="K42" s="117"/>
      <c r="L42" s="117"/>
      <c r="M42" s="117"/>
      <c r="N42" s="117"/>
    </row>
    <row r="43" ht="14.25" customHeight="1" spans="2:14">
      <c r="B43" s="127">
        <v>46254</v>
      </c>
      <c r="C43" s="149">
        <v>1941.7</v>
      </c>
      <c r="D43" s="129">
        <f t="shared" si="3"/>
        <v>0.00221455425657924</v>
      </c>
      <c r="E43" s="149">
        <v>24231.85</v>
      </c>
      <c r="F43" s="153">
        <f t="shared" si="5"/>
        <v>0.000831550211808141</v>
      </c>
      <c r="G43" s="164"/>
      <c r="H43" s="156"/>
      <c r="I43" s="140"/>
      <c r="J43" s="140"/>
      <c r="K43" s="140"/>
      <c r="L43" s="121"/>
      <c r="M43" s="135"/>
    </row>
    <row r="44" ht="14.25" customHeight="1" spans="2:14">
      <c r="B44" s="127">
        <v>46253</v>
      </c>
      <c r="C44" s="149">
        <v>1922</v>
      </c>
      <c r="D44" s="129">
        <f t="shared" si="3"/>
        <v>0.0102497398543184</v>
      </c>
      <c r="E44" s="149">
        <v>24078.3</v>
      </c>
      <c r="F44" s="153">
        <f t="shared" si="5"/>
        <v>0.00637711134091679</v>
      </c>
      <c r="G44" s="164"/>
      <c r="H44" s="156"/>
      <c r="I44" s="140"/>
      <c r="J44" s="140"/>
      <c r="K44" s="140"/>
      <c r="L44" s="121"/>
      <c r="M44" s="135"/>
    </row>
    <row r="45" ht="14.25" customHeight="1" spans="2:14">
      <c r="B45" s="127">
        <v>46252</v>
      </c>
      <c r="C45" s="149">
        <v>1934.2</v>
      </c>
      <c r="D45" s="129">
        <f t="shared" si="3"/>
        <v>-0.00630751731982215</v>
      </c>
      <c r="E45" s="149">
        <v>24154.9</v>
      </c>
      <c r="F45" s="153">
        <f t="shared" si="5"/>
        <v>-0.00317119921837816</v>
      </c>
      <c r="G45" s="164"/>
      <c r="H45" s="156"/>
      <c r="I45" s="140"/>
      <c r="J45" s="140"/>
      <c r="K45" s="140"/>
      <c r="L45" s="121"/>
      <c r="M45" s="135"/>
    </row>
    <row r="46" s="121" customFormat="1" ht="14.25" customHeight="1" spans="2:14">
      <c r="B46" s="127">
        <v>46251</v>
      </c>
      <c r="C46" s="149">
        <v>1985.5</v>
      </c>
      <c r="D46" s="129">
        <f t="shared" si="3"/>
        <v>-0.0258373205741627</v>
      </c>
      <c r="E46" s="149">
        <v>24265.15</v>
      </c>
      <c r="F46" s="153">
        <f t="shared" si="5"/>
        <v>-0.00454355320284439</v>
      </c>
      <c r="G46" s="164"/>
      <c r="M46" s="135"/>
    </row>
    <row r="47" s="121" customFormat="1" ht="14.25" customHeight="1" spans="2:14">
      <c r="B47" s="127">
        <v>46248</v>
      </c>
      <c r="C47" s="149">
        <v>1992.1</v>
      </c>
      <c r="D47" s="129">
        <f t="shared" si="3"/>
        <v>-0.00331308669243502</v>
      </c>
      <c r="E47" s="149">
        <v>24366</v>
      </c>
      <c r="F47" s="153">
        <f t="shared" si="5"/>
        <v>-0.00413896413034553</v>
      </c>
      <c r="G47" s="164"/>
      <c r="M47" s="135"/>
    </row>
    <row r="48" s="121" customFormat="1" ht="14.25" customHeight="1" spans="2:14">
      <c r="B48" s="127">
        <v>46247</v>
      </c>
      <c r="C48" s="149">
        <v>1939.1</v>
      </c>
      <c r="D48" s="129">
        <f t="shared" si="3"/>
        <v>0.0273322675468</v>
      </c>
      <c r="E48" s="149">
        <v>24395.85</v>
      </c>
      <c r="F48" s="153">
        <f t="shared" si="5"/>
        <v>-0.00122356876271978</v>
      </c>
      <c r="G48" s="164"/>
      <c r="L48" s="137"/>
      <c r="M48" s="135"/>
    </row>
    <row r="49" s="121" customFormat="1" ht="14.25" customHeight="1" spans="2:13">
      <c r="B49" s="127">
        <v>46246</v>
      </c>
      <c r="C49" s="149">
        <v>1945</v>
      </c>
      <c r="D49" s="129">
        <f t="shared" si="3"/>
        <v>-0.00303341902313625</v>
      </c>
      <c r="E49" s="149">
        <v>24435.95</v>
      </c>
      <c r="F49" s="153">
        <f t="shared" si="5"/>
        <v>-0.00164102480157313</v>
      </c>
      <c r="G49" s="164"/>
      <c r="L49" s="137"/>
      <c r="M49" s="135"/>
    </row>
    <row r="50" s="121" customFormat="1" ht="14.25" customHeight="1" spans="2:13">
      <c r="B50" s="127">
        <v>46245</v>
      </c>
      <c r="C50" s="149">
        <v>1915.2</v>
      </c>
      <c r="D50" s="129">
        <f t="shared" si="3"/>
        <v>0.0155597326649959</v>
      </c>
      <c r="E50" s="149">
        <v>24471.7</v>
      </c>
      <c r="F50" s="153">
        <f t="shared" si="5"/>
        <v>-0.00146087112869153</v>
      </c>
      <c r="G50" s="164"/>
      <c r="L50" s="137"/>
      <c r="M50" s="135"/>
    </row>
    <row r="51" s="121" customFormat="1" ht="14.25" customHeight="1" spans="2:13">
      <c r="B51" s="127">
        <v>46244</v>
      </c>
      <c r="C51" s="149">
        <v>1943</v>
      </c>
      <c r="D51" s="129">
        <f t="shared" si="3"/>
        <v>-0.0143077714873906</v>
      </c>
      <c r="E51" s="149">
        <v>24583.8</v>
      </c>
      <c r="F51" s="153">
        <f t="shared" si="5"/>
        <v>-0.00455991343893125</v>
      </c>
      <c r="G51" s="164"/>
      <c r="L51" s="137"/>
      <c r="M51" s="135"/>
    </row>
    <row r="52" s="121" customFormat="1" ht="14.25" customHeight="1" spans="2:13">
      <c r="B52" s="127">
        <v>46241</v>
      </c>
      <c r="C52" s="149">
        <v>1959.9</v>
      </c>
      <c r="D52" s="129">
        <f t="shared" si="3"/>
        <v>-0.0086228889229043</v>
      </c>
      <c r="E52" s="149">
        <v>24570.65</v>
      </c>
      <c r="F52" s="153">
        <f t="shared" si="5"/>
        <v>0.000535191376703326</v>
      </c>
      <c r="G52" s="164"/>
      <c r="L52" s="137"/>
      <c r="M52" s="135"/>
    </row>
    <row r="53" s="121" customFormat="1" ht="14.25" customHeight="1" spans="2:13">
      <c r="B53" s="127">
        <v>46240</v>
      </c>
      <c r="C53" s="149">
        <v>1948</v>
      </c>
      <c r="D53" s="129">
        <f t="shared" si="3"/>
        <v>0.00610882956878855</v>
      </c>
      <c r="E53" s="149">
        <v>24636</v>
      </c>
      <c r="F53" s="153">
        <f t="shared" si="5"/>
        <v>-0.00265262217892515</v>
      </c>
      <c r="G53" s="164"/>
      <c r="L53" s="137"/>
      <c r="M53" s="135"/>
    </row>
    <row r="54" s="121" customFormat="1" ht="14.25" customHeight="1" spans="2:13">
      <c r="B54" s="127">
        <v>46239</v>
      </c>
      <c r="C54" s="149">
        <v>1978</v>
      </c>
      <c r="D54" s="129">
        <f t="shared" si="3"/>
        <v>-0.0151668351870576</v>
      </c>
      <c r="E54" s="149">
        <v>24624.65</v>
      </c>
      <c r="F54" s="153">
        <f t="shared" si="5"/>
        <v>0.000460920256734498</v>
      </c>
      <c r="G54" s="164"/>
      <c r="M54" s="135"/>
    </row>
    <row r="55" ht="14.25" customHeight="1" spans="2:13">
      <c r="B55" s="127">
        <v>46238</v>
      </c>
      <c r="C55" s="149">
        <v>1970.1</v>
      </c>
      <c r="D55" s="129">
        <f t="shared" si="3"/>
        <v>0.00400994873356697</v>
      </c>
      <c r="E55" s="149">
        <v>24614.9</v>
      </c>
      <c r="F55" s="153">
        <f t="shared" si="5"/>
        <v>0.000396101548249206</v>
      </c>
      <c r="G55" s="164"/>
      <c r="H55" s="121"/>
      <c r="I55" s="135"/>
      <c r="J55" s="140"/>
      <c r="K55" s="137"/>
      <c r="L55" s="135"/>
      <c r="M55" s="135"/>
    </row>
    <row r="56" ht="14.25" customHeight="1" spans="2:13">
      <c r="B56" s="127">
        <v>46237</v>
      </c>
      <c r="C56" s="149">
        <v>1970.5</v>
      </c>
      <c r="D56" s="129">
        <f t="shared" si="3"/>
        <v>-0.00020299416391778</v>
      </c>
      <c r="E56" s="149">
        <v>24774.3</v>
      </c>
      <c r="F56" s="153">
        <f t="shared" si="5"/>
        <v>-0.00643408693686598</v>
      </c>
      <c r="G56" s="164"/>
      <c r="H56" s="121"/>
      <c r="I56" s="135"/>
      <c r="J56" s="140"/>
      <c r="K56" s="137"/>
      <c r="L56" s="135"/>
      <c r="M56" s="135"/>
    </row>
    <row r="57" ht="14.25" customHeight="1" spans="2:13">
      <c r="B57" s="127">
        <v>46234</v>
      </c>
      <c r="C57" s="149">
        <v>1972</v>
      </c>
      <c r="D57" s="129">
        <f t="shared" si="3"/>
        <v>-0.000760649087221066</v>
      </c>
      <c r="E57" s="149">
        <v>24383.6</v>
      </c>
      <c r="F57" s="153">
        <f t="shared" si="5"/>
        <v>0.0160230646828197</v>
      </c>
      <c r="G57" s="164"/>
      <c r="H57" s="121"/>
      <c r="I57" s="135"/>
      <c r="J57" s="140"/>
      <c r="K57" s="137"/>
      <c r="L57" s="135"/>
      <c r="M57" s="135"/>
    </row>
    <row r="58" ht="14.25" customHeight="1" spans="2:13">
      <c r="B58" s="127">
        <v>46233</v>
      </c>
      <c r="C58" s="149">
        <v>1956.8</v>
      </c>
      <c r="D58" s="129">
        <f t="shared" si="3"/>
        <v>0.00776778413736712</v>
      </c>
      <c r="E58" s="149">
        <v>24317.15</v>
      </c>
      <c r="F58" s="153">
        <f t="shared" si="5"/>
        <v>0.00273263931011636</v>
      </c>
      <c r="G58" s="164"/>
      <c r="H58" s="121"/>
      <c r="I58" s="135"/>
      <c r="J58" s="140"/>
      <c r="K58" s="137"/>
      <c r="L58" s="135"/>
      <c r="M58" s="135"/>
    </row>
    <row r="59" ht="14.25" customHeight="1" spans="2:13">
      <c r="B59" s="127">
        <v>46232</v>
      </c>
      <c r="C59" s="149">
        <v>1950.2</v>
      </c>
      <c r="D59" s="129">
        <f t="shared" si="3"/>
        <v>0.00338426828017635</v>
      </c>
      <c r="E59" s="149">
        <v>24250.2</v>
      </c>
      <c r="F59" s="153">
        <f t="shared" si="5"/>
        <v>0.00276080197276718</v>
      </c>
      <c r="G59" s="164"/>
      <c r="H59" s="121"/>
      <c r="I59" s="135"/>
      <c r="J59" s="140"/>
      <c r="K59" s="137"/>
      <c r="L59" s="135"/>
      <c r="M59" s="135"/>
    </row>
    <row r="60" s="121" customFormat="1" ht="14.25" customHeight="1" spans="2:13">
      <c r="B60" s="127">
        <v>46231</v>
      </c>
      <c r="C60" s="149">
        <v>1901.8</v>
      </c>
      <c r="D60" s="129">
        <f t="shared" si="3"/>
        <v>0.0254495740877065</v>
      </c>
      <c r="E60" s="149">
        <v>23985.35</v>
      </c>
      <c r="F60" s="153">
        <f t="shared" si="5"/>
        <v>0.0110421569833252</v>
      </c>
      <c r="G60" s="164"/>
      <c r="I60" s="135"/>
      <c r="J60" s="140"/>
      <c r="L60" s="135"/>
      <c r="M60" s="135"/>
    </row>
    <row r="61" s="121" customFormat="1" ht="14.25" customHeight="1" spans="2:13">
      <c r="B61" s="127">
        <v>46230</v>
      </c>
      <c r="C61" s="149">
        <v>1905.3</v>
      </c>
      <c r="D61" s="129">
        <f t="shared" si="3"/>
        <v>-0.00183698105285257</v>
      </c>
      <c r="E61" s="149">
        <v>23995.95</v>
      </c>
      <c r="F61" s="153">
        <f t="shared" si="5"/>
        <v>-0.000441741210496005</v>
      </c>
      <c r="G61" s="164"/>
      <c r="I61" s="135"/>
      <c r="J61" s="140"/>
      <c r="L61" s="135"/>
      <c r="M61" s="135"/>
    </row>
    <row r="62" s="121" customFormat="1" ht="14.25" customHeight="1" spans="2:13">
      <c r="B62" s="127">
        <v>46227</v>
      </c>
      <c r="C62" s="149">
        <v>1898.2</v>
      </c>
      <c r="D62" s="129">
        <f t="shared" si="3"/>
        <v>0.00374038562849011</v>
      </c>
      <c r="E62" s="149">
        <v>23767.45</v>
      </c>
      <c r="F62" s="153">
        <f t="shared" si="5"/>
        <v>0.00961398887974951</v>
      </c>
      <c r="G62" s="164"/>
      <c r="I62" s="135"/>
      <c r="J62" s="140"/>
      <c r="K62" s="140"/>
      <c r="M62" s="135"/>
    </row>
    <row r="63" s="121" customFormat="1" ht="14.25" customHeight="1" spans="2:13">
      <c r="B63" s="127">
        <v>46226</v>
      </c>
      <c r="C63" s="149">
        <v>1931</v>
      </c>
      <c r="D63" s="129">
        <f t="shared" si="3"/>
        <v>-0.0169860176074572</v>
      </c>
      <c r="E63" s="149">
        <v>23869.6</v>
      </c>
      <c r="F63" s="153">
        <f t="shared" si="5"/>
        <v>-0.00427950196065274</v>
      </c>
      <c r="G63" s="164"/>
      <c r="I63" s="135"/>
      <c r="J63" s="140"/>
      <c r="K63" s="140"/>
      <c r="M63" s="135"/>
    </row>
    <row r="64" s="121" customFormat="1" ht="14.25" customHeight="1" spans="2:13">
      <c r="B64" s="127">
        <v>46225</v>
      </c>
      <c r="C64" s="149">
        <v>1949</v>
      </c>
      <c r="D64" s="129">
        <f t="shared" si="3"/>
        <v>-0.00923550538737816</v>
      </c>
      <c r="E64" s="149">
        <v>23996.25</v>
      </c>
      <c r="F64" s="153">
        <f t="shared" si="5"/>
        <v>-0.00527790800645944</v>
      </c>
      <c r="I64" s="135"/>
      <c r="J64" s="140"/>
      <c r="M64" s="135"/>
    </row>
    <row r="65" ht="14.25" customHeight="1" spans="2:13">
      <c r="B65" s="127">
        <v>46224</v>
      </c>
      <c r="C65" s="165">
        <v>1948.4</v>
      </c>
      <c r="D65" s="129">
        <f t="shared" si="3"/>
        <v>0.000307944980496799</v>
      </c>
      <c r="E65" s="149">
        <v>24187.7</v>
      </c>
      <c r="F65" s="153">
        <f t="shared" si="5"/>
        <v>-0.00791518002951919</v>
      </c>
      <c r="G65" s="164"/>
      <c r="J65" s="140"/>
      <c r="K65" s="140"/>
      <c r="L65" s="121"/>
      <c r="M65" s="135"/>
    </row>
    <row r="66" ht="14.25" customHeight="1" spans="2:13">
      <c r="B66" s="127">
        <v>46223</v>
      </c>
      <c r="C66" s="165">
        <v>1940.1</v>
      </c>
      <c r="D66" s="129">
        <f t="shared" si="3"/>
        <v>0.00427812999329946</v>
      </c>
      <c r="E66" s="128">
        <v>24238.5</v>
      </c>
      <c r="F66" s="153">
        <f t="shared" si="5"/>
        <v>-0.00209583926398083</v>
      </c>
      <c r="G66" s="164"/>
      <c r="J66" s="140"/>
      <c r="K66" s="140"/>
    </row>
    <row r="67" ht="14.25" customHeight="1" spans="2:13">
      <c r="B67" s="127">
        <v>46220</v>
      </c>
      <c r="C67" s="165">
        <v>1908.8</v>
      </c>
      <c r="D67" s="129">
        <f t="shared" si="3"/>
        <v>0.0163977367979882</v>
      </c>
      <c r="E67" s="128">
        <v>24334.3</v>
      </c>
      <c r="F67" s="153">
        <f t="shared" si="5"/>
        <v>-0.00393682990675714</v>
      </c>
      <c r="G67" s="164"/>
      <c r="J67" s="140"/>
      <c r="K67" s="140"/>
    </row>
    <row r="68" ht="14.25" customHeight="1" spans="2:13">
      <c r="B68" s="127">
        <v>46219</v>
      </c>
      <c r="C68" s="165">
        <v>1921.8</v>
      </c>
      <c r="D68" s="129">
        <f t="shared" si="3"/>
        <v>-0.00676449162243731</v>
      </c>
      <c r="E68" s="128">
        <v>24072.75</v>
      </c>
      <c r="F68" s="153">
        <f t="shared" si="5"/>
        <v>0.0108649821894049</v>
      </c>
      <c r="G68" s="164"/>
      <c r="I68" s="140"/>
      <c r="J68" s="140"/>
      <c r="K68" s="140"/>
    </row>
    <row r="69" ht="14.25" customHeight="1" spans="2:13">
      <c r="B69" s="127">
        <v>46218</v>
      </c>
      <c r="C69" s="165">
        <v>1918.3</v>
      </c>
      <c r="D69" s="129">
        <f t="shared" si="3"/>
        <v>0.00182453213783029</v>
      </c>
      <c r="E69" s="128">
        <v>24078.5</v>
      </c>
      <c r="F69" s="153">
        <f t="shared" si="5"/>
        <v>-0.000238802250970838</v>
      </c>
      <c r="G69" s="164"/>
      <c r="H69" s="139"/>
      <c r="I69" s="140"/>
      <c r="J69" s="140"/>
      <c r="K69" s="140"/>
    </row>
    <row r="70" ht="14.25" customHeight="1" spans="2:13">
      <c r="B70" s="127">
        <v>46217</v>
      </c>
      <c r="C70" s="165">
        <v>1936.5</v>
      </c>
      <c r="D70" s="129">
        <f t="shared" si="3"/>
        <v>-0.00939839917376717</v>
      </c>
      <c r="E70" s="128">
        <v>24052.05</v>
      </c>
      <c r="F70" s="153">
        <f t="shared" si="5"/>
        <v>0.00109969836250956</v>
      </c>
      <c r="G70" s="164"/>
      <c r="H70" s="163"/>
      <c r="I70" s="140"/>
      <c r="J70" s="140"/>
      <c r="K70" s="140"/>
    </row>
    <row r="71" ht="14.25" customHeight="1" spans="2:13">
      <c r="B71" s="127">
        <v>46216</v>
      </c>
      <c r="C71" s="165">
        <v>1901.8</v>
      </c>
      <c r="D71" s="129">
        <f t="shared" si="3"/>
        <v>0.0182458723314756</v>
      </c>
      <c r="E71" s="128">
        <v>24211</v>
      </c>
      <c r="F71" s="153">
        <f t="shared" si="5"/>
        <v>-0.00656519763743757</v>
      </c>
      <c r="G71" s="166"/>
      <c r="H71" s="167"/>
      <c r="I71" s="168"/>
      <c r="J71" s="168"/>
      <c r="K71" s="168"/>
    </row>
    <row r="72" ht="14.25" customHeight="1" spans="2:13">
      <c r="B72" s="136">
        <v>46213</v>
      </c>
      <c r="C72" s="165">
        <v>1946.4</v>
      </c>
      <c r="D72" s="129">
        <f t="shared" si="3"/>
        <v>-0.0229140978216195</v>
      </c>
      <c r="E72" s="165">
        <v>24206.9</v>
      </c>
      <c r="F72" s="153">
        <f t="shared" si="5"/>
        <v>0.000169373195245903</v>
      </c>
      <c r="G72" s="169"/>
      <c r="H72" s="139"/>
      <c r="I72" s="140"/>
      <c r="J72" s="140"/>
      <c r="K72" s="140"/>
    </row>
    <row r="73" ht="14.25" customHeight="1" spans="2:13">
      <c r="B73" s="136">
        <v>46212</v>
      </c>
      <c r="C73" s="165">
        <v>1902</v>
      </c>
      <c r="D73" s="129">
        <f t="shared" si="3"/>
        <v>0.0233438485804416</v>
      </c>
      <c r="E73" s="165">
        <v>23962.8</v>
      </c>
      <c r="F73" s="153">
        <f t="shared" si="5"/>
        <v>0.0101866225983609</v>
      </c>
      <c r="G73" s="169"/>
      <c r="H73" s="163"/>
      <c r="I73" s="162"/>
      <c r="J73" s="117"/>
      <c r="K73" s="117"/>
    </row>
    <row r="74" ht="14.25" customHeight="1" spans="2:13">
      <c r="B74" s="136">
        <v>46211</v>
      </c>
      <c r="C74" s="165">
        <v>1888.1</v>
      </c>
      <c r="D74" s="129">
        <f t="shared" si="3"/>
        <v>0.00736189820454425</v>
      </c>
      <c r="E74" s="165">
        <v>23882.05</v>
      </c>
      <c r="F74" s="153">
        <f t="shared" si="5"/>
        <v>0.00338120052508062</v>
      </c>
      <c r="H74" s="137"/>
      <c r="I74" s="135"/>
    </row>
    <row r="75" ht="14.25" customHeight="1" spans="2:13">
      <c r="B75" s="136">
        <v>46210</v>
      </c>
      <c r="C75" s="165">
        <v>1931.1</v>
      </c>
      <c r="D75" s="129">
        <f t="shared" si="3"/>
        <v>-0.0222671016519083</v>
      </c>
      <c r="E75" s="165">
        <v>24398.7</v>
      </c>
      <c r="F75" s="153">
        <f t="shared" si="5"/>
        <v>-0.021175308520536</v>
      </c>
      <c r="H75" s="137"/>
      <c r="I75" s="135"/>
    </row>
    <row r="76" ht="14.25" customHeight="1" spans="2:13">
      <c r="B76" s="136">
        <v>46209</v>
      </c>
      <c r="C76" s="165">
        <v>1920.6</v>
      </c>
      <c r="D76" s="129">
        <f t="shared" si="3"/>
        <v>0.00546704154951572</v>
      </c>
      <c r="E76" s="165">
        <v>24385.45</v>
      </c>
      <c r="F76" s="153">
        <f t="shared" si="5"/>
        <v>0.000543356796778305</v>
      </c>
      <c r="H76" s="137"/>
      <c r="I76" s="135"/>
    </row>
    <row r="77" ht="14.25" customHeight="1" spans="2:13">
      <c r="B77" s="136">
        <v>46206</v>
      </c>
      <c r="C77" s="165">
        <v>1910.4</v>
      </c>
      <c r="D77" s="129">
        <f t="shared" si="3"/>
        <v>0.0053391959798994</v>
      </c>
      <c r="E77" s="165">
        <v>24270.85</v>
      </c>
      <c r="F77" s="153">
        <f t="shared" si="5"/>
        <v>0.00472171349581907</v>
      </c>
      <c r="H77" s="137"/>
      <c r="I77" s="135"/>
    </row>
    <row r="78" ht="15" customHeight="1" spans="2:13">
      <c r="B78" s="136">
        <v>46205</v>
      </c>
      <c r="C78" s="165">
        <v>1875</v>
      </c>
      <c r="D78" s="129">
        <f t="shared" si="3"/>
        <v>0.01888</v>
      </c>
      <c r="E78" s="165">
        <v>24175.7</v>
      </c>
      <c r="F78" s="153">
        <f t="shared" si="5"/>
        <v>0.00393577021554692</v>
      </c>
      <c r="H78" s="137"/>
      <c r="I78" s="135"/>
      <c r="J78" s="170"/>
    </row>
    <row r="79" ht="14.25" customHeight="1" spans="2:13">
      <c r="B79" s="136">
        <v>46204</v>
      </c>
      <c r="C79" s="165">
        <v>1871</v>
      </c>
      <c r="D79" s="129">
        <f t="shared" si="3"/>
        <v>0.00213789417423849</v>
      </c>
      <c r="E79" s="165">
        <v>24005.85</v>
      </c>
      <c r="F79" s="153">
        <f t="shared" si="5"/>
        <v>0.00707535871464682</v>
      </c>
    </row>
    <row r="80" ht="14.25" customHeight="1" spans="2:13">
      <c r="B80" s="136">
        <v>46203</v>
      </c>
      <c r="C80" s="165">
        <v>1852</v>
      </c>
      <c r="D80" s="129">
        <f t="shared" si="3"/>
        <v>0.0102591792656588</v>
      </c>
      <c r="E80" s="165">
        <v>23865.75</v>
      </c>
      <c r="F80" s="153">
        <f t="shared" si="5"/>
        <v>0.00587033719870522</v>
      </c>
    </row>
    <row r="81" ht="14.25" customHeight="1" spans="2:6">
      <c r="B81" s="136">
        <v>46202</v>
      </c>
      <c r="C81" s="165">
        <v>1841.1</v>
      </c>
      <c r="D81" s="129">
        <f t="shared" si="3"/>
        <v>0.00592037368964204</v>
      </c>
      <c r="E81" s="165">
        <v>23946.25</v>
      </c>
      <c r="F81" s="153">
        <f t="shared" si="5"/>
        <v>-0.00336169546379916</v>
      </c>
    </row>
    <row r="82" ht="14.25" customHeight="1" spans="2:6">
      <c r="B82" s="136">
        <v>46198</v>
      </c>
      <c r="C82" s="165">
        <v>1850.7</v>
      </c>
      <c r="D82" s="129">
        <f t="shared" si="3"/>
        <v>-0.00518722645485503</v>
      </c>
      <c r="E82" s="165">
        <v>24056</v>
      </c>
      <c r="F82" s="153">
        <f t="shared" si="5"/>
        <v>-0.00456227136681076</v>
      </c>
    </row>
    <row r="83" ht="14.25" customHeight="1" spans="2:6">
      <c r="B83" s="136">
        <v>46197</v>
      </c>
      <c r="C83" s="165">
        <v>1877.3</v>
      </c>
      <c r="D83" s="129">
        <f t="shared" si="3"/>
        <v>-0.0141692856762371</v>
      </c>
      <c r="E83" s="165">
        <v>24021.65</v>
      </c>
      <c r="F83" s="153">
        <f t="shared" si="5"/>
        <v>0.00142996005686524</v>
      </c>
    </row>
    <row r="84" ht="14.25" customHeight="1" spans="2:6">
      <c r="B84" s="136">
        <v>46196</v>
      </c>
      <c r="C84" s="165">
        <v>1901.6</v>
      </c>
      <c r="D84" s="129">
        <f t="shared" si="3"/>
        <v>-0.0127787126630206</v>
      </c>
      <c r="E84" s="165">
        <v>23824.1</v>
      </c>
      <c r="F84" s="153">
        <f t="shared" si="5"/>
        <v>0.00829202362313808</v>
      </c>
    </row>
    <row r="85" ht="14.25" customHeight="1" spans="2:6">
      <c r="B85" s="136">
        <v>46195</v>
      </c>
      <c r="C85" s="165">
        <v>1916.6</v>
      </c>
      <c r="D85" s="129">
        <f t="shared" si="3"/>
        <v>-0.00782635917771057</v>
      </c>
      <c r="E85" s="165">
        <v>24102.9</v>
      </c>
      <c r="F85" s="153">
        <f t="shared" si="5"/>
        <v>-0.0115670728418573</v>
      </c>
    </row>
    <row r="86" ht="14.25" customHeight="1" spans="2:6">
      <c r="B86" s="136">
        <v>46192</v>
      </c>
      <c r="C86" s="165">
        <v>1910.8</v>
      </c>
      <c r="D86" s="129">
        <f t="shared" si="3"/>
        <v>0.00303537785220853</v>
      </c>
      <c r="E86" s="165">
        <v>24013.1</v>
      </c>
      <c r="F86" s="153">
        <f t="shared" si="5"/>
        <v>0.00373962545443951</v>
      </c>
    </row>
    <row r="87" ht="14.25" customHeight="1" spans="2:6">
      <c r="B87" s="136">
        <v>46191</v>
      </c>
      <c r="C87" s="165">
        <v>1874.8</v>
      </c>
      <c r="D87" s="129">
        <f t="shared" si="3"/>
        <v>0.0192020482184767</v>
      </c>
      <c r="E87" s="165">
        <v>24168</v>
      </c>
      <c r="F87" s="153">
        <f t="shared" si="5"/>
        <v>-0.00640930155577635</v>
      </c>
    </row>
    <row r="88" ht="14.25" customHeight="1" spans="2:6">
      <c r="B88" s="136">
        <v>46190</v>
      </c>
      <c r="C88" s="165">
        <v>1875.7</v>
      </c>
      <c r="D88" s="129">
        <f t="shared" ref="D88:D151" si="6">C87/C88-1</f>
        <v>-0.000479820866876368</v>
      </c>
      <c r="E88" s="165">
        <v>24085.7</v>
      </c>
      <c r="F88" s="153">
        <f t="shared" ref="F88:F151" si="7">E87/E88-1</f>
        <v>0.00341696525324142</v>
      </c>
    </row>
    <row r="89" ht="14.25" customHeight="1" spans="2:6">
      <c r="B89" s="136">
        <v>46189</v>
      </c>
      <c r="C89" s="165">
        <v>1853</v>
      </c>
      <c r="D89" s="129">
        <f t="shared" si="6"/>
        <v>0.0122504047490557</v>
      </c>
      <c r="E89" s="165">
        <v>23989.15</v>
      </c>
      <c r="F89" s="153">
        <f t="shared" si="7"/>
        <v>0.00402473618281585</v>
      </c>
    </row>
    <row r="90" ht="14.25" customHeight="1" spans="2:6">
      <c r="B90" s="136">
        <v>46188</v>
      </c>
      <c r="C90" s="165">
        <v>1841.2</v>
      </c>
      <c r="D90" s="129">
        <f t="shared" si="6"/>
        <v>0.00640886378448835</v>
      </c>
      <c r="E90" s="165">
        <v>23853.9</v>
      </c>
      <c r="F90" s="153">
        <f t="shared" si="7"/>
        <v>0.00566993238003</v>
      </c>
    </row>
    <row r="91" ht="14.25" customHeight="1" spans="2:6">
      <c r="B91" s="136">
        <v>46185</v>
      </c>
      <c r="C91" s="165">
        <v>1822.5</v>
      </c>
      <c r="D91" s="129">
        <f t="shared" si="6"/>
        <v>0.0102606310013718</v>
      </c>
      <c r="E91" s="165">
        <v>23622.9</v>
      </c>
      <c r="F91" s="153">
        <f t="shared" si="7"/>
        <v>0.00977864699084363</v>
      </c>
    </row>
    <row r="92" ht="14.25" customHeight="1" spans="2:6">
      <c r="B92" s="136">
        <v>46184</v>
      </c>
      <c r="C92" s="165">
        <v>1782.6</v>
      </c>
      <c r="D92" s="129">
        <f t="shared" si="6"/>
        <v>0.0223830360148098</v>
      </c>
      <c r="E92" s="165">
        <v>23161.6</v>
      </c>
      <c r="F92" s="153">
        <f t="shared" si="7"/>
        <v>0.0199165860735011</v>
      </c>
    </row>
    <row r="93" ht="14.25" customHeight="1" spans="2:6">
      <c r="B93" s="136">
        <v>46183</v>
      </c>
      <c r="C93" s="165">
        <v>1775.2</v>
      </c>
      <c r="D93" s="129">
        <f t="shared" si="6"/>
        <v>0.00416854438936443</v>
      </c>
      <c r="E93" s="165">
        <v>23214.95</v>
      </c>
      <c r="F93" s="153">
        <f t="shared" si="7"/>
        <v>-0.00229808808547949</v>
      </c>
    </row>
    <row r="94" ht="14.25" customHeight="1" spans="2:6">
      <c r="B94" s="136">
        <v>46182</v>
      </c>
      <c r="C94" s="165">
        <v>1799</v>
      </c>
      <c r="D94" s="129">
        <f t="shared" si="6"/>
        <v>-0.0132295719844358</v>
      </c>
      <c r="E94" s="165">
        <v>23242.1</v>
      </c>
      <c r="F94" s="153">
        <f t="shared" si="7"/>
        <v>-0.00116813885148059</v>
      </c>
    </row>
    <row r="95" ht="14.25" customHeight="1" spans="2:6">
      <c r="B95" s="136">
        <v>46181</v>
      </c>
      <c r="C95" s="165">
        <v>1813.3</v>
      </c>
      <c r="D95" s="129">
        <f t="shared" si="6"/>
        <v>-0.00788617437820549</v>
      </c>
      <c r="E95" s="165">
        <v>23123</v>
      </c>
      <c r="F95" s="153">
        <f t="shared" si="7"/>
        <v>0.00515071573757719</v>
      </c>
    </row>
    <row r="96" ht="14.25" customHeight="1" spans="2:6">
      <c r="B96" s="136">
        <v>46178</v>
      </c>
      <c r="C96" s="165">
        <v>1798.2</v>
      </c>
      <c r="D96" s="129">
        <f t="shared" si="6"/>
        <v>0.00839728617506386</v>
      </c>
      <c r="E96" s="165">
        <v>23366.7</v>
      </c>
      <c r="F96" s="153">
        <f t="shared" si="7"/>
        <v>-0.0104293717127365</v>
      </c>
    </row>
    <row r="97" ht="14.25" customHeight="1" spans="2:6">
      <c r="B97" s="136">
        <v>46177</v>
      </c>
      <c r="C97" s="165">
        <v>1818.9</v>
      </c>
      <c r="D97" s="129">
        <f t="shared" si="6"/>
        <v>-0.0113805047006432</v>
      </c>
      <c r="E97" s="165">
        <v>23416.55</v>
      </c>
      <c r="F97" s="153">
        <f t="shared" si="7"/>
        <v>-0.00212883622907722</v>
      </c>
    </row>
    <row r="98" ht="14.25" customHeight="1" spans="2:6">
      <c r="B98" s="136">
        <v>46176</v>
      </c>
      <c r="C98" s="165">
        <v>1824.1</v>
      </c>
      <c r="D98" s="129">
        <f t="shared" si="6"/>
        <v>-0.00285072090345917</v>
      </c>
      <c r="E98" s="165">
        <v>23405.6</v>
      </c>
      <c r="F98" s="153">
        <f t="shared" si="7"/>
        <v>0.00046783675701545</v>
      </c>
    </row>
    <row r="99" ht="14.25" customHeight="1" spans="2:6">
      <c r="B99" s="136">
        <v>46175</v>
      </c>
      <c r="C99" s="165">
        <v>1814.2</v>
      </c>
      <c r="D99" s="129">
        <f t="shared" si="6"/>
        <v>0.00545695072208119</v>
      </c>
      <c r="E99" s="165">
        <v>23483.55</v>
      </c>
      <c r="F99" s="153">
        <f t="shared" si="7"/>
        <v>-0.00331934481796836</v>
      </c>
    </row>
    <row r="100" ht="14.25" customHeight="1" spans="2:6">
      <c r="B100" s="136">
        <v>46174</v>
      </c>
      <c r="C100" s="165">
        <v>1810.6</v>
      </c>
      <c r="D100" s="129">
        <f t="shared" si="6"/>
        <v>0.00198829117419641</v>
      </c>
      <c r="E100" s="165">
        <v>23382.6</v>
      </c>
      <c r="F100" s="153">
        <f t="shared" si="7"/>
        <v>0.00431731287367532</v>
      </c>
    </row>
    <row r="101" ht="14.25" customHeight="1" spans="2:6">
      <c r="B101" s="136">
        <v>46171</v>
      </c>
      <c r="C101" s="165">
        <v>1829</v>
      </c>
      <c r="D101" s="129">
        <f t="shared" si="6"/>
        <v>-0.0100601421541827</v>
      </c>
      <c r="E101" s="165">
        <v>23547.75</v>
      </c>
      <c r="F101" s="153">
        <f t="shared" si="7"/>
        <v>-0.0070134089244196</v>
      </c>
    </row>
    <row r="102" ht="14.25" customHeight="1" spans="2:6">
      <c r="B102" s="136">
        <v>46169</v>
      </c>
      <c r="C102" s="165">
        <v>1852.2</v>
      </c>
      <c r="D102" s="129">
        <f t="shared" si="6"/>
        <v>-0.0125256451787065</v>
      </c>
      <c r="E102" s="165">
        <v>23907.15</v>
      </c>
      <c r="F102" s="153">
        <f t="shared" si="7"/>
        <v>-0.0150331595359547</v>
      </c>
    </row>
    <row r="103" ht="14.25" customHeight="1" spans="2:6">
      <c r="B103" s="136">
        <v>46168</v>
      </c>
      <c r="C103" s="165">
        <v>1846.9</v>
      </c>
      <c r="D103" s="129">
        <f t="shared" si="6"/>
        <v>0.00286967350695755</v>
      </c>
      <c r="E103" s="165">
        <v>23913.7</v>
      </c>
      <c r="F103" s="153">
        <f t="shared" si="7"/>
        <v>-0.000273901571065882</v>
      </c>
    </row>
    <row r="104" ht="14.25" customHeight="1" spans="2:6">
      <c r="B104" s="136">
        <v>46167</v>
      </c>
      <c r="C104" s="165">
        <v>1874.8</v>
      </c>
      <c r="D104" s="129">
        <f t="shared" si="6"/>
        <v>-0.0148815873693193</v>
      </c>
      <c r="E104" s="165">
        <v>24031.7</v>
      </c>
      <c r="F104" s="153">
        <f t="shared" si="7"/>
        <v>-0.00491018113574981</v>
      </c>
    </row>
    <row r="105" ht="14.25" customHeight="1" spans="2:6">
      <c r="B105" s="136">
        <v>46164</v>
      </c>
      <c r="C105" s="165">
        <v>1871.4</v>
      </c>
      <c r="D105" s="129">
        <f t="shared" si="6"/>
        <v>0.0018168216308645</v>
      </c>
      <c r="E105" s="165">
        <v>23719.3</v>
      </c>
      <c r="F105" s="153">
        <f t="shared" si="7"/>
        <v>0.0131707090850068</v>
      </c>
    </row>
    <row r="106" ht="14.25" customHeight="1" spans="2:6">
      <c r="B106" s="136">
        <v>46163</v>
      </c>
      <c r="C106" s="165">
        <v>1885.3</v>
      </c>
      <c r="D106" s="129">
        <f t="shared" si="6"/>
        <v>-0.00737283191004079</v>
      </c>
      <c r="E106" s="165">
        <v>23654.7</v>
      </c>
      <c r="F106" s="153">
        <f t="shared" si="7"/>
        <v>0.00273095832963421</v>
      </c>
    </row>
    <row r="107" ht="14.25" customHeight="1" spans="2:6">
      <c r="B107" s="136">
        <v>46162</v>
      </c>
      <c r="C107" s="165">
        <v>1904.9</v>
      </c>
      <c r="D107" s="129">
        <f t="shared" si="6"/>
        <v>-0.010289254029083</v>
      </c>
      <c r="E107" s="165">
        <v>23659</v>
      </c>
      <c r="F107" s="153">
        <f t="shared" si="7"/>
        <v>-0.000181749017287292</v>
      </c>
    </row>
    <row r="108" ht="14.25" customHeight="1" spans="2:6">
      <c r="B108" s="136">
        <v>46161</v>
      </c>
      <c r="C108" s="165">
        <v>1913.5</v>
      </c>
      <c r="D108" s="129">
        <f t="shared" si="6"/>
        <v>-0.00449438202247188</v>
      </c>
      <c r="E108" s="165">
        <v>23618</v>
      </c>
      <c r="F108" s="153">
        <f t="shared" si="7"/>
        <v>0.00173596409518173</v>
      </c>
    </row>
    <row r="109" ht="14.25" customHeight="1" spans="2:6">
      <c r="B109" s="136">
        <v>46160</v>
      </c>
      <c r="C109" s="165">
        <v>1938.1</v>
      </c>
      <c r="D109" s="129">
        <f t="shared" si="6"/>
        <v>-0.012692843506527</v>
      </c>
      <c r="E109" s="165">
        <v>23649.95</v>
      </c>
      <c r="F109" s="153">
        <f t="shared" si="7"/>
        <v>-0.00135095423034726</v>
      </c>
    </row>
    <row r="110" ht="14.25" customHeight="1" spans="2:6">
      <c r="B110" s="136">
        <v>46157</v>
      </c>
      <c r="C110" s="165">
        <v>1905.4</v>
      </c>
      <c r="D110" s="129">
        <f t="shared" si="6"/>
        <v>0.0171617508134774</v>
      </c>
      <c r="E110" s="165">
        <v>23643.5</v>
      </c>
      <c r="F110" s="153">
        <f t="shared" si="7"/>
        <v>0.000272802250089965</v>
      </c>
    </row>
    <row r="111" ht="14.25" customHeight="1" spans="2:6">
      <c r="B111" s="136">
        <v>46156</v>
      </c>
      <c r="C111" s="165">
        <v>1883.5</v>
      </c>
      <c r="D111" s="129">
        <f t="shared" si="6"/>
        <v>0.0116272896203877</v>
      </c>
      <c r="E111" s="165">
        <v>23689.6</v>
      </c>
      <c r="F111" s="153">
        <f t="shared" si="7"/>
        <v>-0.00194600162096437</v>
      </c>
    </row>
    <row r="112" ht="14.25" customHeight="1" spans="2:6">
      <c r="B112" s="136">
        <v>46155</v>
      </c>
      <c r="C112" s="165">
        <v>1789.2</v>
      </c>
      <c r="D112" s="129">
        <f t="shared" si="6"/>
        <v>0.052705119606528</v>
      </c>
      <c r="E112" s="165">
        <v>23412.6</v>
      </c>
      <c r="F112" s="153">
        <f t="shared" si="7"/>
        <v>0.0118312361719757</v>
      </c>
    </row>
    <row r="113" ht="14.25" customHeight="1" spans="2:6">
      <c r="B113" s="136">
        <v>46154</v>
      </c>
      <c r="C113" s="165">
        <v>1756.8</v>
      </c>
      <c r="D113" s="129">
        <f t="shared" si="6"/>
        <v>0.0184426229508197</v>
      </c>
      <c r="E113" s="165">
        <v>23379.55</v>
      </c>
      <c r="F113" s="153">
        <f t="shared" si="7"/>
        <v>0.00141362857711114</v>
      </c>
    </row>
    <row r="114" ht="14.25" customHeight="1" spans="2:6">
      <c r="B114" s="136">
        <v>46153</v>
      </c>
      <c r="C114" s="165">
        <v>1759.8</v>
      </c>
      <c r="D114" s="129">
        <f t="shared" si="6"/>
        <v>-0.00170473917490621</v>
      </c>
      <c r="E114" s="165">
        <v>23815.85</v>
      </c>
      <c r="F114" s="153">
        <f t="shared" si="7"/>
        <v>-0.0183197324470887</v>
      </c>
    </row>
    <row r="115" ht="14.25" customHeight="1" spans="2:6">
      <c r="B115" s="136">
        <v>46150</v>
      </c>
      <c r="C115" s="165">
        <v>1834.5</v>
      </c>
      <c r="D115" s="129">
        <f t="shared" si="6"/>
        <v>-0.0407195421095666</v>
      </c>
      <c r="E115" s="165">
        <v>24176.15</v>
      </c>
      <c r="F115" s="153">
        <f t="shared" si="7"/>
        <v>-0.0149031173284416</v>
      </c>
    </row>
    <row r="116" ht="14.25" customHeight="1" spans="2:6">
      <c r="B116" s="136">
        <v>46149</v>
      </c>
      <c r="C116" s="165">
        <v>1826.6</v>
      </c>
      <c r="D116" s="129">
        <f t="shared" si="6"/>
        <v>0.0043249753640644</v>
      </c>
      <c r="E116" s="165">
        <v>24326.65</v>
      </c>
      <c r="F116" s="153">
        <f t="shared" si="7"/>
        <v>-0.00618663071158587</v>
      </c>
    </row>
    <row r="117" ht="14.25" customHeight="1" spans="2:6">
      <c r="B117" s="136">
        <v>46148</v>
      </c>
      <c r="C117" s="165">
        <v>1833.7</v>
      </c>
      <c r="D117" s="129">
        <f t="shared" si="6"/>
        <v>-0.00387195288215092</v>
      </c>
      <c r="E117" s="165">
        <v>24330.95</v>
      </c>
      <c r="F117" s="153">
        <f t="shared" si="7"/>
        <v>-0.000176729638587836</v>
      </c>
    </row>
    <row r="118" ht="14.25" customHeight="1" spans="2:6">
      <c r="B118" s="136">
        <v>46147</v>
      </c>
      <c r="C118" s="165">
        <v>1806.1</v>
      </c>
      <c r="D118" s="129">
        <f t="shared" si="6"/>
        <v>0.0152815458723217</v>
      </c>
      <c r="E118" s="165">
        <v>24032.8</v>
      </c>
      <c r="F118" s="153">
        <f t="shared" si="7"/>
        <v>0.0124059618521355</v>
      </c>
    </row>
    <row r="119" ht="14.25" customHeight="1" spans="2:6">
      <c r="B119" s="136">
        <v>46146</v>
      </c>
      <c r="C119" s="165">
        <v>1827.1</v>
      </c>
      <c r="D119" s="129">
        <f t="shared" si="6"/>
        <v>-0.0114936237753818</v>
      </c>
      <c r="E119" s="165">
        <v>24119.3</v>
      </c>
      <c r="F119" s="153">
        <f t="shared" si="7"/>
        <v>-0.00358633957038557</v>
      </c>
    </row>
    <row r="120" ht="14.25" customHeight="1" spans="2:6">
      <c r="B120" s="136">
        <v>46142</v>
      </c>
      <c r="C120" s="165">
        <v>1886.8</v>
      </c>
      <c r="D120" s="129">
        <f t="shared" si="6"/>
        <v>-0.0316408734365062</v>
      </c>
      <c r="E120" s="165">
        <v>23997.55</v>
      </c>
      <c r="F120" s="153">
        <f t="shared" si="7"/>
        <v>0.00507343457978005</v>
      </c>
    </row>
    <row r="121" ht="14.25" customHeight="1" spans="2:6">
      <c r="B121" s="136">
        <v>46141</v>
      </c>
      <c r="C121" s="165">
        <v>1888.1</v>
      </c>
      <c r="D121" s="129">
        <f t="shared" si="6"/>
        <v>-0.000688522853662388</v>
      </c>
      <c r="E121" s="165">
        <v>24177.65</v>
      </c>
      <c r="F121" s="153">
        <f t="shared" si="7"/>
        <v>-0.00744902833815542</v>
      </c>
    </row>
    <row r="122" ht="14.25" customHeight="1" spans="2:6">
      <c r="B122" s="136">
        <v>46140</v>
      </c>
      <c r="C122" s="165">
        <v>1843.8</v>
      </c>
      <c r="D122" s="129">
        <f t="shared" si="6"/>
        <v>0.0240264670788588</v>
      </c>
      <c r="E122" s="165">
        <v>23995.7</v>
      </c>
      <c r="F122" s="153">
        <f t="shared" si="7"/>
        <v>0.0075826085506987</v>
      </c>
    </row>
    <row r="123" ht="14.25" customHeight="1" spans="2:6">
      <c r="B123" s="136">
        <v>46139</v>
      </c>
      <c r="C123" s="165">
        <v>1820.1</v>
      </c>
      <c r="D123" s="129">
        <f t="shared" si="6"/>
        <v>0.0130212625679909</v>
      </c>
      <c r="E123" s="165">
        <v>24092.7</v>
      </c>
      <c r="F123" s="153">
        <f t="shared" si="7"/>
        <v>-0.0040261157944107</v>
      </c>
    </row>
    <row r="124" ht="14.25" customHeight="1" spans="2:6">
      <c r="B124" s="136">
        <v>46136</v>
      </c>
      <c r="C124" s="165">
        <v>1814.5</v>
      </c>
      <c r="D124" s="129">
        <f t="shared" si="6"/>
        <v>0.00308624965555238</v>
      </c>
      <c r="E124" s="165">
        <v>23897.95</v>
      </c>
      <c r="F124" s="153">
        <f t="shared" si="7"/>
        <v>0.00814923455777583</v>
      </c>
    </row>
    <row r="125" ht="14.25" customHeight="1" spans="2:6">
      <c r="B125" s="136">
        <v>46135</v>
      </c>
      <c r="C125" s="165">
        <v>1841.2</v>
      </c>
      <c r="D125" s="129">
        <f t="shared" si="6"/>
        <v>-0.0145014121225288</v>
      </c>
      <c r="E125" s="165">
        <v>24173.05</v>
      </c>
      <c r="F125" s="153">
        <f t="shared" si="7"/>
        <v>-0.0113804422693867</v>
      </c>
    </row>
    <row r="126" ht="14.25" customHeight="1" spans="2:6">
      <c r="B126" s="136">
        <v>46134</v>
      </c>
      <c r="C126" s="165">
        <v>1829</v>
      </c>
      <c r="D126" s="129">
        <f t="shared" si="6"/>
        <v>0.00667031164570808</v>
      </c>
      <c r="E126" s="165">
        <v>24378.1</v>
      </c>
      <c r="F126" s="153">
        <f t="shared" si="7"/>
        <v>-0.0084112379553779</v>
      </c>
    </row>
    <row r="127" ht="14.25" customHeight="1" spans="2:6">
      <c r="B127" s="136">
        <v>46133</v>
      </c>
      <c r="C127" s="165">
        <v>1855</v>
      </c>
      <c r="D127" s="129">
        <f t="shared" si="6"/>
        <v>-0.0140161725067386</v>
      </c>
      <c r="E127" s="165">
        <v>24576.6</v>
      </c>
      <c r="F127" s="153">
        <f t="shared" si="7"/>
        <v>-0.00807678848986437</v>
      </c>
    </row>
    <row r="128" ht="14.25" customHeight="1" spans="2:6">
      <c r="B128" s="136">
        <v>46132</v>
      </c>
      <c r="C128" s="165">
        <v>1846.1</v>
      </c>
      <c r="D128" s="129">
        <f t="shared" si="6"/>
        <v>0.00482097394507353</v>
      </c>
      <c r="E128" s="165">
        <v>24364.85</v>
      </c>
      <c r="F128" s="153">
        <f t="shared" si="7"/>
        <v>0.00869079842477993</v>
      </c>
    </row>
    <row r="129" ht="14.25" customHeight="1" spans="2:6">
      <c r="B129" s="136">
        <v>46129</v>
      </c>
      <c r="C129" s="165">
        <v>1846.9</v>
      </c>
      <c r="D129" s="129">
        <f t="shared" si="6"/>
        <v>-0.000433158265201294</v>
      </c>
      <c r="E129" s="165">
        <v>24353.55</v>
      </c>
      <c r="F129" s="153">
        <f t="shared" si="7"/>
        <v>0.00046399806188413</v>
      </c>
    </row>
    <row r="130" ht="14.25" customHeight="1" spans="2:6">
      <c r="B130" s="136">
        <v>46128</v>
      </c>
      <c r="C130" s="165">
        <v>1840.6</v>
      </c>
      <c r="D130" s="129">
        <f t="shared" si="6"/>
        <v>0.0034227969140499</v>
      </c>
      <c r="E130" s="165">
        <v>24196.75</v>
      </c>
      <c r="F130" s="153">
        <f t="shared" si="7"/>
        <v>0.00648020911899327</v>
      </c>
    </row>
    <row r="131" ht="14.25" customHeight="1" spans="2:6">
      <c r="B131" s="136">
        <v>46127</v>
      </c>
      <c r="C131" s="165">
        <v>1855.7</v>
      </c>
      <c r="D131" s="129">
        <f t="shared" si="6"/>
        <v>-0.00813709112464311</v>
      </c>
      <c r="E131" s="165">
        <v>24231.3</v>
      </c>
      <c r="F131" s="153">
        <f t="shared" si="7"/>
        <v>-0.0014258417831482</v>
      </c>
    </row>
    <row r="132" ht="14.25" customHeight="1" spans="2:6">
      <c r="B132" s="136">
        <v>46125</v>
      </c>
      <c r="C132" s="165">
        <v>1870.9</v>
      </c>
      <c r="D132" s="129">
        <f t="shared" si="6"/>
        <v>-0.00812443209150682</v>
      </c>
      <c r="E132" s="165">
        <v>23842.65</v>
      </c>
      <c r="F132" s="153">
        <f t="shared" si="7"/>
        <v>0.0163006209460776</v>
      </c>
    </row>
    <row r="133" ht="14.25" customHeight="1" spans="2:6">
      <c r="B133" s="136">
        <v>46122</v>
      </c>
      <c r="C133" s="165">
        <v>1870</v>
      </c>
      <c r="D133" s="129">
        <f t="shared" si="6"/>
        <v>0.000481283422459899</v>
      </c>
      <c r="E133" s="165">
        <v>24050.6</v>
      </c>
      <c r="F133" s="153">
        <f t="shared" si="7"/>
        <v>-0.00864635393711577</v>
      </c>
    </row>
    <row r="134" ht="14.25" customHeight="1" spans="2:6">
      <c r="B134" s="136">
        <v>46121</v>
      </c>
      <c r="C134" s="165">
        <v>1859.4</v>
      </c>
      <c r="D134" s="129">
        <f t="shared" si="6"/>
        <v>0.00570076368721084</v>
      </c>
      <c r="E134" s="165">
        <v>23775.1</v>
      </c>
      <c r="F134" s="153">
        <f t="shared" si="7"/>
        <v>0.0115877535741176</v>
      </c>
    </row>
    <row r="135" ht="14.25" customHeight="1" spans="2:6">
      <c r="B135" s="136">
        <v>46120</v>
      </c>
      <c r="C135" s="165">
        <v>1861.6</v>
      </c>
      <c r="D135" s="129">
        <f t="shared" si="6"/>
        <v>-0.00118177911473993</v>
      </c>
      <c r="E135" s="165">
        <v>23997.35</v>
      </c>
      <c r="F135" s="153">
        <f t="shared" si="7"/>
        <v>-0.00926143928392098</v>
      </c>
    </row>
    <row r="136" ht="14.25" customHeight="1" spans="2:6">
      <c r="B136" s="136">
        <v>46119</v>
      </c>
      <c r="C136" s="165">
        <v>1830.3</v>
      </c>
      <c r="D136" s="129">
        <f t="shared" si="6"/>
        <v>0.0171010216904333</v>
      </c>
      <c r="E136" s="165">
        <v>23123.65</v>
      </c>
      <c r="F136" s="153">
        <f t="shared" si="7"/>
        <v>0.0377838273801929</v>
      </c>
    </row>
    <row r="137" ht="14.25" customHeight="1" spans="2:6">
      <c r="B137" s="136">
        <v>46118</v>
      </c>
      <c r="C137" s="165">
        <v>1792.8</v>
      </c>
      <c r="D137" s="129">
        <f t="shared" si="6"/>
        <v>0.0209170013386881</v>
      </c>
      <c r="E137" s="165">
        <v>22968.25</v>
      </c>
      <c r="F137" s="153">
        <f t="shared" si="7"/>
        <v>0.00676586156977566</v>
      </c>
    </row>
    <row r="138" ht="14.25" customHeight="1" spans="2:6">
      <c r="B138" s="136">
        <v>46114</v>
      </c>
      <c r="C138" s="165">
        <v>1789.7</v>
      </c>
      <c r="D138" s="129">
        <f t="shared" si="6"/>
        <v>0.00173213387718607</v>
      </c>
      <c r="E138" s="165">
        <v>22713.1</v>
      </c>
      <c r="F138" s="153">
        <f t="shared" si="7"/>
        <v>0.0112336052762503</v>
      </c>
    </row>
    <row r="139" ht="14.25" customHeight="1" spans="2:6">
      <c r="B139" s="136">
        <v>46113</v>
      </c>
      <c r="C139" s="165">
        <v>1781.9</v>
      </c>
      <c r="D139" s="129">
        <f t="shared" si="6"/>
        <v>0.00437735001964201</v>
      </c>
      <c r="E139" s="165">
        <v>22679.4</v>
      </c>
      <c r="F139" s="153">
        <f t="shared" si="7"/>
        <v>0.00148592996287378</v>
      </c>
    </row>
    <row r="140" ht="14.25" customHeight="1" spans="2:6">
      <c r="B140" s="136">
        <v>46111</v>
      </c>
      <c r="C140" s="165">
        <v>1782.4</v>
      </c>
      <c r="D140" s="129">
        <f t="shared" si="6"/>
        <v>-0.00028052064631956</v>
      </c>
      <c r="E140" s="165">
        <v>22331.4</v>
      </c>
      <c r="F140" s="153">
        <f t="shared" si="7"/>
        <v>0.0155834385663236</v>
      </c>
    </row>
    <row r="141" ht="14.25" customHeight="1" spans="2:6">
      <c r="B141" s="136">
        <v>46108</v>
      </c>
      <c r="C141" s="165">
        <v>1843.9</v>
      </c>
      <c r="D141" s="129">
        <f t="shared" si="6"/>
        <v>-0.0333532187211888</v>
      </c>
      <c r="E141" s="165">
        <v>22819.6</v>
      </c>
      <c r="F141" s="153">
        <f t="shared" si="7"/>
        <v>-0.0213938894634436</v>
      </c>
    </row>
    <row r="142" ht="14.25" customHeight="1" spans="2:6">
      <c r="B142" s="136">
        <v>46106</v>
      </c>
      <c r="C142" s="165">
        <v>1834.9</v>
      </c>
      <c r="D142" s="129">
        <f t="shared" si="6"/>
        <v>0.0049048994495613</v>
      </c>
      <c r="E142" s="165">
        <v>23306.45</v>
      </c>
      <c r="F142" s="153">
        <f t="shared" si="7"/>
        <v>-0.020889067189555</v>
      </c>
    </row>
    <row r="143" ht="14.25" customHeight="1" spans="2:6">
      <c r="B143" s="136">
        <v>46105</v>
      </c>
      <c r="C143" s="165">
        <v>1802.1</v>
      </c>
      <c r="D143" s="129">
        <f t="shared" si="6"/>
        <v>0.0182009877365297</v>
      </c>
      <c r="E143" s="165">
        <v>22912.4</v>
      </c>
      <c r="F143" s="153">
        <f t="shared" si="7"/>
        <v>0.0171981110664967</v>
      </c>
    </row>
    <row r="144" ht="14.25" customHeight="1" spans="2:6">
      <c r="B144" s="136">
        <v>46104</v>
      </c>
      <c r="C144" s="165">
        <v>1795.9</v>
      </c>
      <c r="D144" s="129">
        <f t="shared" si="6"/>
        <v>0.00345230803496843</v>
      </c>
      <c r="E144" s="165">
        <v>22512.65</v>
      </c>
      <c r="F144" s="153">
        <f t="shared" si="7"/>
        <v>0.0177566834646299</v>
      </c>
    </row>
    <row r="145" ht="14.25" customHeight="1" spans="2:6">
      <c r="B145" s="136">
        <v>46101</v>
      </c>
      <c r="C145" s="165">
        <v>1846.1</v>
      </c>
      <c r="D145" s="129">
        <f t="shared" si="6"/>
        <v>-0.0271924597800768</v>
      </c>
      <c r="E145" s="165">
        <v>23114.5</v>
      </c>
      <c r="F145" s="153">
        <f t="shared" si="7"/>
        <v>-0.0260377685002919</v>
      </c>
    </row>
    <row r="146" ht="14.25" customHeight="1" spans="2:6">
      <c r="B146" s="136">
        <v>46100</v>
      </c>
      <c r="C146" s="165">
        <v>1827</v>
      </c>
      <c r="D146" s="129">
        <f t="shared" si="6"/>
        <v>0.0104542966611931</v>
      </c>
      <c r="E146" s="165">
        <v>23002.15</v>
      </c>
      <c r="F146" s="153">
        <f t="shared" si="7"/>
        <v>0.00488432603039279</v>
      </c>
    </row>
    <row r="147" ht="14.25" customHeight="1" spans="2:6">
      <c r="B147" s="136">
        <v>46099</v>
      </c>
      <c r="C147" s="165">
        <v>1855.4</v>
      </c>
      <c r="D147" s="129">
        <f t="shared" si="6"/>
        <v>-0.0153066724156516</v>
      </c>
      <c r="E147" s="165">
        <v>23777.8</v>
      </c>
      <c r="F147" s="153">
        <f t="shared" si="7"/>
        <v>-0.032620763905828</v>
      </c>
    </row>
    <row r="148" ht="14.25" customHeight="1" spans="2:6">
      <c r="B148" s="136">
        <v>46098</v>
      </c>
      <c r="C148" s="165">
        <v>1827</v>
      </c>
      <c r="D148" s="129">
        <f t="shared" si="6"/>
        <v>0.0155446086480571</v>
      </c>
      <c r="E148" s="165">
        <v>23581.15</v>
      </c>
      <c r="F148" s="153">
        <f t="shared" si="7"/>
        <v>0.0083392879482127</v>
      </c>
    </row>
    <row r="149" ht="14.25" customHeight="1" spans="2:6">
      <c r="B149" s="136">
        <v>46097</v>
      </c>
      <c r="C149" s="165">
        <v>1788.8</v>
      </c>
      <c r="D149" s="129">
        <f t="shared" si="6"/>
        <v>0.0213550983899822</v>
      </c>
      <c r="E149" s="165">
        <v>23408.8</v>
      </c>
      <c r="F149" s="153">
        <f t="shared" si="7"/>
        <v>0.007362615768429</v>
      </c>
    </row>
    <row r="150" ht="14.25" customHeight="1" spans="2:6">
      <c r="B150" s="136">
        <v>46094</v>
      </c>
      <c r="C150" s="165">
        <v>1803.4</v>
      </c>
      <c r="D150" s="129">
        <f t="shared" si="6"/>
        <v>-0.00809581900853951</v>
      </c>
      <c r="E150" s="165">
        <v>23151.1</v>
      </c>
      <c r="F150" s="153">
        <f t="shared" si="7"/>
        <v>0.011131220546756</v>
      </c>
    </row>
    <row r="151" ht="14.25" customHeight="1" spans="2:6">
      <c r="B151" s="136">
        <v>46093</v>
      </c>
      <c r="C151" s="165">
        <v>1801.3</v>
      </c>
      <c r="D151" s="129">
        <f t="shared" si="6"/>
        <v>0.00116582468217397</v>
      </c>
      <c r="E151" s="165">
        <v>23639.15</v>
      </c>
      <c r="F151" s="153">
        <f t="shared" si="7"/>
        <v>-0.0206458354044035</v>
      </c>
    </row>
    <row r="152" ht="14.25" customHeight="1" spans="2:6">
      <c r="B152" s="136">
        <v>46092</v>
      </c>
      <c r="C152" s="165">
        <v>1807</v>
      </c>
      <c r="D152" s="129">
        <f t="shared" ref="D152:D215" si="8">C151/C152-1</f>
        <v>-0.00315439955727725</v>
      </c>
      <c r="E152" s="165">
        <v>23866.85</v>
      </c>
      <c r="F152" s="153">
        <f t="shared" ref="F152:F215" si="9">E151/E152-1</f>
        <v>-0.00954042950787382</v>
      </c>
    </row>
    <row r="153" ht="14.25" customHeight="1" spans="2:6">
      <c r="B153" s="136">
        <v>46091</v>
      </c>
      <c r="C153" s="165">
        <v>1850.4</v>
      </c>
      <c r="D153" s="129">
        <f t="shared" si="8"/>
        <v>-0.0234543882403805</v>
      </c>
      <c r="E153" s="165">
        <v>24261.6</v>
      </c>
      <c r="F153" s="153">
        <f t="shared" si="9"/>
        <v>-0.0162705674811224</v>
      </c>
    </row>
    <row r="154" ht="14.25" customHeight="1" spans="2:6">
      <c r="B154" s="136">
        <v>46090</v>
      </c>
      <c r="C154" s="165">
        <v>1866.7</v>
      </c>
      <c r="D154" s="129">
        <f t="shared" si="8"/>
        <v>-0.00873198692880484</v>
      </c>
      <c r="E154" s="165">
        <v>24028.05</v>
      </c>
      <c r="F154" s="153">
        <f t="shared" si="9"/>
        <v>0.00971988987870431</v>
      </c>
    </row>
    <row r="155" ht="14.25" customHeight="1" spans="2:6">
      <c r="B155" s="136">
        <v>46087</v>
      </c>
      <c r="C155" s="165">
        <v>1870.8</v>
      </c>
      <c r="D155" s="129">
        <f t="shared" si="8"/>
        <v>-0.00219157579645068</v>
      </c>
      <c r="E155" s="165">
        <v>24450.45</v>
      </c>
      <c r="F155" s="153">
        <f t="shared" si="9"/>
        <v>-0.0172757556609389</v>
      </c>
    </row>
    <row r="156" ht="14.25" customHeight="1" spans="2:6">
      <c r="B156" s="136">
        <v>46086</v>
      </c>
      <c r="C156" s="165">
        <v>1907</v>
      </c>
      <c r="D156" s="129">
        <f t="shared" si="8"/>
        <v>-0.0189826953329838</v>
      </c>
      <c r="E156" s="165">
        <v>24765.9</v>
      </c>
      <c r="F156" s="153">
        <f t="shared" si="9"/>
        <v>-0.0127372718132593</v>
      </c>
    </row>
    <row r="157" ht="14.25" customHeight="1" spans="2:6">
      <c r="B157" s="136">
        <v>46085</v>
      </c>
      <c r="C157" s="165">
        <v>1905.9</v>
      </c>
      <c r="D157" s="129">
        <f t="shared" si="8"/>
        <v>0.000577155149797948</v>
      </c>
      <c r="E157" s="165">
        <v>24480.5</v>
      </c>
      <c r="F157" s="153">
        <f t="shared" si="9"/>
        <v>0.0116582586139991</v>
      </c>
    </row>
    <row r="158" ht="14.25" customHeight="1" spans="2:6">
      <c r="B158" s="136">
        <v>46083</v>
      </c>
      <c r="C158" s="165">
        <v>1873.2</v>
      </c>
      <c r="D158" s="129">
        <f t="shared" si="8"/>
        <v>0.0174567584881486</v>
      </c>
      <c r="E158" s="165">
        <v>24865.7</v>
      </c>
      <c r="F158" s="153">
        <f t="shared" si="9"/>
        <v>-0.0154912188275416</v>
      </c>
    </row>
    <row r="159" ht="14.25" customHeight="1" spans="2:6">
      <c r="B159" s="136">
        <v>46080</v>
      </c>
      <c r="C159" s="165">
        <v>1879.3</v>
      </c>
      <c r="D159" s="129">
        <f t="shared" si="8"/>
        <v>-0.00324588942691428</v>
      </c>
      <c r="E159" s="165">
        <v>25178.65</v>
      </c>
      <c r="F159" s="153">
        <f t="shared" si="9"/>
        <v>-0.0124291810720591</v>
      </c>
    </row>
    <row r="160" ht="14.25" customHeight="1" spans="2:6">
      <c r="B160" s="136">
        <v>46079</v>
      </c>
      <c r="C160" s="165">
        <v>1929.6</v>
      </c>
      <c r="D160" s="129">
        <f t="shared" si="8"/>
        <v>-0.0260675787728026</v>
      </c>
      <c r="E160" s="165">
        <v>25496.55</v>
      </c>
      <c r="F160" s="153">
        <f t="shared" si="9"/>
        <v>-0.0124683535615602</v>
      </c>
    </row>
    <row r="161" ht="14.25" customHeight="1" spans="2:6">
      <c r="B161" s="136">
        <v>46078</v>
      </c>
      <c r="C161" s="165">
        <v>1913.4</v>
      </c>
      <c r="D161" s="129">
        <f t="shared" si="8"/>
        <v>0.00846660395108167</v>
      </c>
      <c r="E161" s="165">
        <v>25482.5</v>
      </c>
      <c r="F161" s="153">
        <f t="shared" si="9"/>
        <v>0.000551358775630284</v>
      </c>
    </row>
    <row r="162" ht="14.25" customHeight="1" spans="2:6">
      <c r="B162" s="136">
        <v>46077</v>
      </c>
      <c r="C162" s="165">
        <v>1941</v>
      </c>
      <c r="D162" s="129">
        <f t="shared" si="8"/>
        <v>-0.0142194744976816</v>
      </c>
      <c r="E162" s="165">
        <v>25424.65</v>
      </c>
      <c r="F162" s="153">
        <f t="shared" si="9"/>
        <v>0.00227535088978614</v>
      </c>
    </row>
    <row r="163" ht="14.25" customHeight="1" spans="2:6">
      <c r="B163" s="136">
        <v>46076</v>
      </c>
      <c r="C163" s="165">
        <v>1997.3</v>
      </c>
      <c r="D163" s="129">
        <f t="shared" si="8"/>
        <v>-0.0281880538727282</v>
      </c>
      <c r="E163" s="165">
        <v>25713</v>
      </c>
      <c r="F163" s="153">
        <f t="shared" si="9"/>
        <v>-0.0112141718197021</v>
      </c>
    </row>
    <row r="164" ht="14.25" customHeight="1" spans="2:6">
      <c r="B164" s="136">
        <v>46073</v>
      </c>
      <c r="C164" s="165">
        <v>1977.4</v>
      </c>
      <c r="D164" s="129">
        <f t="shared" si="8"/>
        <v>0.0100637200364113</v>
      </c>
      <c r="E164" s="165">
        <v>25571.25</v>
      </c>
      <c r="F164" s="153">
        <f t="shared" si="9"/>
        <v>0.00554333479982394</v>
      </c>
    </row>
    <row r="165" ht="14.25" customHeight="1" spans="2:6">
      <c r="B165" s="136">
        <v>46072</v>
      </c>
      <c r="C165" s="165">
        <v>1988.6</v>
      </c>
      <c r="D165" s="129">
        <f t="shared" si="8"/>
        <v>-0.00563210298702599</v>
      </c>
      <c r="E165" s="165">
        <v>25454.35</v>
      </c>
      <c r="F165" s="153">
        <f t="shared" si="9"/>
        <v>0.00459253526411008</v>
      </c>
    </row>
    <row r="166" ht="14.25" customHeight="1" spans="2:6">
      <c r="B166" s="136">
        <v>46071</v>
      </c>
      <c r="C166" s="165">
        <v>2021.8</v>
      </c>
      <c r="D166" s="129">
        <f t="shared" si="8"/>
        <v>-0.0164210109803146</v>
      </c>
      <c r="E166" s="165">
        <v>25819.35</v>
      </c>
      <c r="F166" s="153">
        <f t="shared" si="9"/>
        <v>-0.014136684308474</v>
      </c>
    </row>
    <row r="167" ht="14.25" customHeight="1" spans="2:6">
      <c r="B167" s="136">
        <v>46070</v>
      </c>
      <c r="C167" s="165">
        <v>2020.3</v>
      </c>
      <c r="D167" s="129">
        <f t="shared" si="8"/>
        <v>0.000742463990496489</v>
      </c>
      <c r="E167" s="165">
        <v>25725.4</v>
      </c>
      <c r="F167" s="153">
        <f t="shared" si="9"/>
        <v>0.00365203262145575</v>
      </c>
    </row>
    <row r="168" ht="14.25" customHeight="1" spans="2:6">
      <c r="B168" s="136">
        <v>46069</v>
      </c>
      <c r="C168" s="165">
        <v>2029.4</v>
      </c>
      <c r="D168" s="129">
        <f t="shared" si="8"/>
        <v>-0.00448408396570421</v>
      </c>
      <c r="E168" s="165">
        <v>25682.75</v>
      </c>
      <c r="F168" s="153">
        <f t="shared" si="9"/>
        <v>0.00166064771101238</v>
      </c>
    </row>
    <row r="169" ht="14.25" customHeight="1" spans="2:6">
      <c r="B169" s="136">
        <v>46066</v>
      </c>
      <c r="C169" s="165">
        <v>2004.7</v>
      </c>
      <c r="D169" s="129">
        <f t="shared" si="8"/>
        <v>0.0123210455429741</v>
      </c>
      <c r="E169" s="165">
        <v>25471.1</v>
      </c>
      <c r="F169" s="153">
        <f t="shared" si="9"/>
        <v>0.00830941733965163</v>
      </c>
    </row>
    <row r="170" ht="14.25" customHeight="1" spans="2:6">
      <c r="B170" s="136">
        <v>46065</v>
      </c>
      <c r="C170" s="165">
        <v>2014.5</v>
      </c>
      <c r="D170" s="129">
        <f t="shared" si="8"/>
        <v>-0.00486473070240756</v>
      </c>
      <c r="E170" s="165">
        <v>25807.2</v>
      </c>
      <c r="F170" s="153">
        <f t="shared" si="9"/>
        <v>-0.0130234973185779</v>
      </c>
    </row>
    <row r="171" ht="14.25" customHeight="1" spans="2:6">
      <c r="B171" s="136">
        <v>46064</v>
      </c>
      <c r="C171" s="165">
        <v>2012.1</v>
      </c>
      <c r="D171" s="129">
        <f t="shared" si="8"/>
        <v>0.00119278365886388</v>
      </c>
      <c r="E171" s="165">
        <v>25953.85</v>
      </c>
      <c r="F171" s="153">
        <f t="shared" si="9"/>
        <v>-0.00565041410041278</v>
      </c>
    </row>
    <row r="172" ht="14.25" customHeight="1" spans="2:6">
      <c r="B172" s="136">
        <v>46063</v>
      </c>
      <c r="C172" s="165">
        <v>2011.3</v>
      </c>
      <c r="D172" s="129">
        <f t="shared" si="8"/>
        <v>0.000397752697260501</v>
      </c>
      <c r="E172" s="165">
        <v>25935.15</v>
      </c>
      <c r="F172" s="153">
        <f t="shared" si="9"/>
        <v>0.00072102918240291</v>
      </c>
    </row>
    <row r="173" ht="14.25" customHeight="1" spans="2:6">
      <c r="B173" s="136">
        <v>46062</v>
      </c>
      <c r="C173" s="165">
        <v>2038.2</v>
      </c>
      <c r="D173" s="129">
        <f t="shared" si="8"/>
        <v>-0.0131979197330979</v>
      </c>
      <c r="E173" s="165">
        <v>25867.3</v>
      </c>
      <c r="F173" s="153">
        <f t="shared" si="9"/>
        <v>0.00262300278730287</v>
      </c>
    </row>
    <row r="174" ht="14.25" customHeight="1" spans="2:6">
      <c r="B174" s="136">
        <v>46059</v>
      </c>
      <c r="C174" s="165">
        <v>2038.4</v>
      </c>
      <c r="D174" s="129">
        <f t="shared" si="8"/>
        <v>-9.81161695448041e-5</v>
      </c>
      <c r="E174" s="165">
        <v>25693.7</v>
      </c>
      <c r="F174" s="153">
        <f t="shared" si="9"/>
        <v>0.00675652008079797</v>
      </c>
    </row>
    <row r="175" ht="14.25" customHeight="1" spans="2:6">
      <c r="B175" s="136">
        <v>46058</v>
      </c>
      <c r="C175" s="165">
        <v>1992.4</v>
      </c>
      <c r="D175" s="129">
        <f t="shared" si="8"/>
        <v>0.0230877333868702</v>
      </c>
      <c r="E175" s="165">
        <v>25642.8</v>
      </c>
      <c r="F175" s="153">
        <f t="shared" si="9"/>
        <v>0.00198496264058523</v>
      </c>
    </row>
    <row r="176" ht="14.25" customHeight="1" spans="2:6">
      <c r="B176" s="136">
        <v>46057</v>
      </c>
      <c r="C176" s="165">
        <v>2025.8</v>
      </c>
      <c r="D176" s="129">
        <f t="shared" si="8"/>
        <v>-0.016487313653865</v>
      </c>
      <c r="E176" s="165">
        <v>25776</v>
      </c>
      <c r="F176" s="153">
        <f t="shared" si="9"/>
        <v>-0.00516759776536313</v>
      </c>
    </row>
    <row r="177" ht="14.25" customHeight="1" spans="2:6">
      <c r="B177" s="136">
        <v>46056</v>
      </c>
      <c r="C177" s="165">
        <v>1997.3</v>
      </c>
      <c r="D177" s="129">
        <f t="shared" si="8"/>
        <v>0.0142692635057327</v>
      </c>
      <c r="E177" s="165">
        <v>25727.55</v>
      </c>
      <c r="F177" s="153">
        <f t="shared" si="9"/>
        <v>0.0018831952517826</v>
      </c>
    </row>
    <row r="178" ht="14.25" customHeight="1" spans="2:6">
      <c r="B178" s="136">
        <v>46055</v>
      </c>
      <c r="C178" s="165">
        <v>1965.4</v>
      </c>
      <c r="D178" s="129">
        <f t="shared" si="8"/>
        <v>0.0162307927139513</v>
      </c>
      <c r="E178" s="165">
        <v>25088.4</v>
      </c>
      <c r="F178" s="153">
        <f t="shared" si="9"/>
        <v>0.025475917156933</v>
      </c>
    </row>
    <row r="179" ht="14.25" customHeight="1" spans="2:6">
      <c r="B179" s="136">
        <v>46054</v>
      </c>
      <c r="C179" s="165">
        <v>1949</v>
      </c>
      <c r="D179" s="129">
        <f t="shared" si="8"/>
        <v>0.0084145715751669</v>
      </c>
      <c r="E179" s="165">
        <v>24825.45</v>
      </c>
      <c r="F179" s="153">
        <f t="shared" si="9"/>
        <v>0.0105919530159575</v>
      </c>
    </row>
    <row r="180" ht="14.25" customHeight="1" spans="2:6">
      <c r="B180" s="136">
        <v>46052</v>
      </c>
      <c r="C180" s="165">
        <v>1968.7</v>
      </c>
      <c r="D180" s="129">
        <f t="shared" si="8"/>
        <v>-0.0100066033423071</v>
      </c>
      <c r="E180" s="165">
        <v>25320.65</v>
      </c>
      <c r="F180" s="153">
        <f t="shared" si="9"/>
        <v>-0.0195571598675389</v>
      </c>
    </row>
    <row r="181" ht="14.25" customHeight="1" spans="2:6">
      <c r="B181" s="136">
        <v>46051</v>
      </c>
      <c r="C181" s="165">
        <v>1967.9</v>
      </c>
      <c r="D181" s="129">
        <f t="shared" si="8"/>
        <v>0.000406524721784596</v>
      </c>
      <c r="E181" s="165">
        <v>25418.9</v>
      </c>
      <c r="F181" s="153">
        <f t="shared" si="9"/>
        <v>-0.00386523413680373</v>
      </c>
    </row>
    <row r="182" ht="14.25" customHeight="1" spans="2:6">
      <c r="B182" s="136">
        <v>46050</v>
      </c>
      <c r="C182" s="165">
        <v>1957.7</v>
      </c>
      <c r="D182" s="129">
        <f t="shared" si="8"/>
        <v>0.00521019563773817</v>
      </c>
      <c r="E182" s="165">
        <v>25342.75</v>
      </c>
      <c r="F182" s="153">
        <f t="shared" si="9"/>
        <v>0.00300480413530502</v>
      </c>
    </row>
    <row r="183" ht="14.25" customHeight="1" spans="2:6">
      <c r="B183" s="136">
        <v>46049</v>
      </c>
      <c r="C183" s="165">
        <v>1973.4</v>
      </c>
      <c r="D183" s="129">
        <f t="shared" si="8"/>
        <v>-0.0079558123036384</v>
      </c>
      <c r="E183" s="165">
        <v>25175.4</v>
      </c>
      <c r="F183" s="153">
        <f t="shared" si="9"/>
        <v>0.00664736210745409</v>
      </c>
    </row>
    <row r="184" ht="14.25" customHeight="1" spans="2:6">
      <c r="B184" s="136">
        <v>46045</v>
      </c>
      <c r="C184" s="165">
        <v>1984.7</v>
      </c>
      <c r="D184" s="129">
        <f t="shared" si="8"/>
        <v>-0.00569355570111352</v>
      </c>
      <c r="E184" s="165">
        <v>25048.65</v>
      </c>
      <c r="F184" s="153">
        <f t="shared" si="9"/>
        <v>0.00506015294237416</v>
      </c>
    </row>
    <row r="185" ht="14.25" customHeight="1" spans="2:6">
      <c r="B185" s="136">
        <v>46044</v>
      </c>
      <c r="C185" s="165">
        <v>2002.2</v>
      </c>
      <c r="D185" s="129">
        <f t="shared" si="8"/>
        <v>-0.00874038557586654</v>
      </c>
      <c r="E185" s="165">
        <v>25289.9</v>
      </c>
      <c r="F185" s="153">
        <f t="shared" si="9"/>
        <v>-0.0095393813340503</v>
      </c>
    </row>
    <row r="186" ht="14.25" customHeight="1" spans="2:6">
      <c r="B186" s="136">
        <v>46043</v>
      </c>
      <c r="C186" s="165">
        <v>1996.1</v>
      </c>
      <c r="D186" s="129">
        <f t="shared" si="8"/>
        <v>0.00305595912028456</v>
      </c>
      <c r="E186" s="165">
        <v>25157.5</v>
      </c>
      <c r="F186" s="153">
        <f t="shared" si="9"/>
        <v>0.00526284408228173</v>
      </c>
    </row>
    <row r="187" ht="14.25" customHeight="1" spans="2:6">
      <c r="B187" s="136">
        <v>46042</v>
      </c>
      <c r="C187" s="165">
        <v>1996</v>
      </c>
      <c r="D187" s="129">
        <f t="shared" si="8"/>
        <v>5.01002004007489e-5</v>
      </c>
      <c r="E187" s="165">
        <v>25232.5</v>
      </c>
      <c r="F187" s="153">
        <f t="shared" si="9"/>
        <v>-0.00297235707916377</v>
      </c>
    </row>
    <row r="188" ht="14.25" customHeight="1" spans="2:6">
      <c r="B188" s="136">
        <v>46041</v>
      </c>
      <c r="C188" s="165">
        <v>2010</v>
      </c>
      <c r="D188" s="129">
        <f t="shared" si="8"/>
        <v>-0.00696517412935327</v>
      </c>
      <c r="E188" s="165">
        <v>25585.5</v>
      </c>
      <c r="F188" s="153">
        <f t="shared" si="9"/>
        <v>-0.0137968771374412</v>
      </c>
    </row>
    <row r="189" ht="14.25" customHeight="1" spans="2:6">
      <c r="B189" s="136">
        <v>46038</v>
      </c>
      <c r="C189" s="165">
        <v>2016.4</v>
      </c>
      <c r="D189" s="129">
        <f t="shared" si="8"/>
        <v>-0.00317397341797265</v>
      </c>
      <c r="E189" s="165">
        <v>25694.35</v>
      </c>
      <c r="F189" s="153">
        <f t="shared" si="9"/>
        <v>-0.0042363398957358</v>
      </c>
    </row>
    <row r="190" ht="14.25" customHeight="1" spans="2:6">
      <c r="B190" s="136">
        <v>46036</v>
      </c>
      <c r="C190" s="165">
        <v>2022.5</v>
      </c>
      <c r="D190" s="129">
        <f t="shared" si="8"/>
        <v>-0.00301606922126074</v>
      </c>
      <c r="E190" s="165">
        <v>25665.6</v>
      </c>
      <c r="F190" s="153">
        <f t="shared" si="9"/>
        <v>0.00112017642291629</v>
      </c>
    </row>
    <row r="191" ht="14.25" customHeight="1" spans="2:6">
      <c r="B191" s="136">
        <v>46035</v>
      </c>
      <c r="C191" s="165">
        <v>2026.9</v>
      </c>
      <c r="D191" s="129">
        <f t="shared" si="8"/>
        <v>-0.00217080270363612</v>
      </c>
      <c r="E191" s="165">
        <v>25732.3</v>
      </c>
      <c r="F191" s="153">
        <f t="shared" si="9"/>
        <v>-0.00259207299774988</v>
      </c>
    </row>
    <row r="192" ht="14.25" customHeight="1" spans="2:6">
      <c r="B192" s="136">
        <v>46034</v>
      </c>
      <c r="C192" s="165">
        <v>2044</v>
      </c>
      <c r="D192" s="129">
        <f t="shared" si="8"/>
        <v>-0.00836594911937372</v>
      </c>
      <c r="E192" s="165">
        <v>25790.25</v>
      </c>
      <c r="F192" s="153">
        <f t="shared" si="9"/>
        <v>-0.00224697317784828</v>
      </c>
    </row>
    <row r="193" ht="14.25" customHeight="1" spans="2:6">
      <c r="B193" s="136">
        <v>46031</v>
      </c>
      <c r="C193" s="165">
        <v>2027.1</v>
      </c>
      <c r="D193" s="129">
        <f t="shared" si="8"/>
        <v>0.00833703320013823</v>
      </c>
      <c r="E193" s="165">
        <v>25683.3</v>
      </c>
      <c r="F193" s="153">
        <f t="shared" si="9"/>
        <v>0.00416418450900014</v>
      </c>
    </row>
    <row r="194" ht="14.25" customHeight="1" spans="2:6">
      <c r="B194" s="136">
        <v>46030</v>
      </c>
      <c r="C194" s="165">
        <v>2066.3</v>
      </c>
      <c r="D194" s="129">
        <f t="shared" si="8"/>
        <v>-0.0189711077771864</v>
      </c>
      <c r="E194" s="165">
        <v>25876.85</v>
      </c>
      <c r="F194" s="153">
        <f t="shared" si="9"/>
        <v>-0.00747965845920195</v>
      </c>
    </row>
    <row r="195" ht="14.25" customHeight="1" spans="2:6">
      <c r="B195" s="136">
        <v>46029</v>
      </c>
      <c r="C195" s="165">
        <v>2084.2</v>
      </c>
      <c r="D195" s="129">
        <f t="shared" si="8"/>
        <v>-0.00858842721427866</v>
      </c>
      <c r="E195" s="165">
        <v>26140.75</v>
      </c>
      <c r="F195" s="153">
        <f t="shared" si="9"/>
        <v>-0.0100953492153056</v>
      </c>
    </row>
    <row r="196" ht="14.25" customHeight="1" spans="2:6">
      <c r="B196" s="136">
        <v>46028</v>
      </c>
      <c r="C196" s="165">
        <v>2105.3</v>
      </c>
      <c r="D196" s="129">
        <f t="shared" si="8"/>
        <v>-0.0100223246093195</v>
      </c>
      <c r="E196" s="165">
        <v>26178.7</v>
      </c>
      <c r="F196" s="153">
        <f t="shared" si="9"/>
        <v>-0.00144965181617118</v>
      </c>
    </row>
    <row r="197" ht="14.25" customHeight="1" spans="2:6">
      <c r="B197" s="136">
        <v>46027</v>
      </c>
      <c r="C197" s="165">
        <v>2105</v>
      </c>
      <c r="D197" s="129">
        <f t="shared" si="8"/>
        <v>0.000142517814726961</v>
      </c>
      <c r="E197" s="165">
        <v>26250.3</v>
      </c>
      <c r="F197" s="153">
        <f t="shared" si="9"/>
        <v>-0.00272758787518612</v>
      </c>
    </row>
    <row r="198" ht="14.25" customHeight="1" spans="2:6">
      <c r="B198" s="136">
        <v>46024</v>
      </c>
      <c r="C198" s="165">
        <v>2106.3</v>
      </c>
      <c r="D198" s="129">
        <f t="shared" si="8"/>
        <v>-0.000617196030954892</v>
      </c>
      <c r="E198" s="165">
        <v>26328.55</v>
      </c>
      <c r="F198" s="153">
        <f t="shared" si="9"/>
        <v>-0.00297205884866425</v>
      </c>
    </row>
    <row r="199" ht="14.25" customHeight="1" spans="2:6">
      <c r="B199" s="136">
        <v>46023</v>
      </c>
      <c r="C199" s="165">
        <v>2110.4</v>
      </c>
      <c r="D199" s="129">
        <f t="shared" si="8"/>
        <v>-0.00194275966641388</v>
      </c>
      <c r="E199" s="165">
        <v>26146.55</v>
      </c>
      <c r="F199" s="153">
        <f t="shared" si="9"/>
        <v>0.00696076537822399</v>
      </c>
    </row>
    <row r="200" ht="14.25" customHeight="1" spans="2:6">
      <c r="B200" s="136">
        <v>46022</v>
      </c>
      <c r="C200" s="165">
        <v>2105.6</v>
      </c>
      <c r="D200" s="129">
        <f t="shared" si="8"/>
        <v>0.00227963525835873</v>
      </c>
      <c r="E200" s="165">
        <v>26129.6</v>
      </c>
      <c r="F200" s="153">
        <f t="shared" si="9"/>
        <v>0.000648689608719666</v>
      </c>
    </row>
    <row r="201" ht="14.25" customHeight="1" spans="2:6">
      <c r="B201" s="136">
        <v>46021</v>
      </c>
      <c r="C201" s="165">
        <v>2099.8</v>
      </c>
      <c r="D201" s="129">
        <f t="shared" si="8"/>
        <v>0.00276216782550698</v>
      </c>
      <c r="E201" s="165">
        <v>25938.85</v>
      </c>
      <c r="F201" s="153">
        <f t="shared" si="9"/>
        <v>0.00735383411369428</v>
      </c>
    </row>
    <row r="202" ht="14.25" customHeight="1" spans="2:6">
      <c r="B202" s="136">
        <v>46020</v>
      </c>
      <c r="C202" s="165">
        <v>2081.6</v>
      </c>
      <c r="D202" s="129">
        <f t="shared" si="8"/>
        <v>0.00874327440430456</v>
      </c>
      <c r="E202" s="165">
        <v>25942.1</v>
      </c>
      <c r="F202" s="153">
        <f t="shared" si="9"/>
        <v>-0.000125278986666477</v>
      </c>
    </row>
    <row r="203" ht="14.25" customHeight="1" spans="2:6">
      <c r="B203" s="136">
        <v>46017</v>
      </c>
      <c r="C203" s="165">
        <v>2105.4</v>
      </c>
      <c r="D203" s="129">
        <f t="shared" si="8"/>
        <v>-0.0113042652227606</v>
      </c>
      <c r="E203" s="165">
        <v>26042.3</v>
      </c>
      <c r="F203" s="153">
        <f t="shared" si="9"/>
        <v>-0.00384758642669814</v>
      </c>
    </row>
    <row r="204" ht="14.25" customHeight="1" spans="2:6">
      <c r="B204" s="136">
        <v>46015</v>
      </c>
      <c r="C204" s="165">
        <v>2123.7</v>
      </c>
      <c r="D204" s="129">
        <f t="shared" si="8"/>
        <v>-0.00861703630456268</v>
      </c>
      <c r="E204" s="165">
        <v>26142.1</v>
      </c>
      <c r="F204" s="153">
        <f t="shared" si="9"/>
        <v>-0.0038175969030797</v>
      </c>
    </row>
    <row r="205" ht="14.25" customHeight="1" spans="2:6">
      <c r="B205" s="136">
        <v>46014</v>
      </c>
      <c r="C205" s="165">
        <v>2122.9</v>
      </c>
      <c r="D205" s="129">
        <f t="shared" si="8"/>
        <v>0.000376842997785953</v>
      </c>
      <c r="E205" s="165">
        <v>26177.15</v>
      </c>
      <c r="F205" s="153">
        <f t="shared" si="9"/>
        <v>-0.00133895401141848</v>
      </c>
    </row>
    <row r="206" ht="14.25" customHeight="1" spans="2:6">
      <c r="B206" s="136">
        <v>46013</v>
      </c>
      <c r="C206" s="165">
        <v>2147.6</v>
      </c>
      <c r="D206" s="129">
        <f t="shared" si="8"/>
        <v>-0.011501210653753</v>
      </c>
      <c r="E206" s="165">
        <v>26172.4</v>
      </c>
      <c r="F206" s="153">
        <f t="shared" si="9"/>
        <v>0.000181488896700444</v>
      </c>
    </row>
    <row r="207" ht="14.25" customHeight="1" spans="2:6">
      <c r="B207" s="136">
        <v>46010</v>
      </c>
      <c r="C207" s="165">
        <v>2097.7</v>
      </c>
      <c r="D207" s="129">
        <f t="shared" si="8"/>
        <v>0.0237879582399771</v>
      </c>
      <c r="E207" s="165">
        <v>25966.4</v>
      </c>
      <c r="F207" s="153">
        <f t="shared" si="9"/>
        <v>0.00793332922546064</v>
      </c>
    </row>
    <row r="208" ht="14.25" customHeight="1" spans="2:6">
      <c r="B208" s="136">
        <v>46009</v>
      </c>
      <c r="C208" s="165">
        <v>2092</v>
      </c>
      <c r="D208" s="129">
        <f t="shared" si="8"/>
        <v>0.00272466539196925</v>
      </c>
      <c r="E208" s="165">
        <v>25815.55</v>
      </c>
      <c r="F208" s="153">
        <f t="shared" si="9"/>
        <v>0.0058433773442752</v>
      </c>
    </row>
    <row r="209" ht="14.25" customHeight="1" spans="2:6">
      <c r="B209" s="136">
        <v>46008</v>
      </c>
      <c r="C209" s="165">
        <v>2108</v>
      </c>
      <c r="D209" s="129">
        <f t="shared" si="8"/>
        <v>-0.00759013282732446</v>
      </c>
      <c r="E209" s="165">
        <v>25818.55</v>
      </c>
      <c r="F209" s="153">
        <f t="shared" si="9"/>
        <v>-0.000116195526084883</v>
      </c>
    </row>
    <row r="210" ht="14.25" customHeight="1" spans="2:6">
      <c r="B210" s="136">
        <v>46007</v>
      </c>
      <c r="C210" s="165">
        <v>2102</v>
      </c>
      <c r="D210" s="129">
        <f t="shared" si="8"/>
        <v>0.00285442435775463</v>
      </c>
      <c r="E210" s="165">
        <v>25860.1</v>
      </c>
      <c r="F210" s="153">
        <f t="shared" si="9"/>
        <v>-0.00160672232512638</v>
      </c>
    </row>
    <row r="211" ht="14.25" customHeight="1" spans="2:6">
      <c r="B211" s="136">
        <v>46006</v>
      </c>
      <c r="C211" s="165">
        <v>2069.7</v>
      </c>
      <c r="D211" s="129">
        <f t="shared" si="8"/>
        <v>0.0156061264917622</v>
      </c>
      <c r="E211" s="165">
        <v>26027.3</v>
      </c>
      <c r="F211" s="153">
        <f t="shared" si="9"/>
        <v>-0.00642402400556341</v>
      </c>
    </row>
    <row r="212" ht="14.25" customHeight="1" spans="2:6">
      <c r="B212" s="136">
        <v>46003</v>
      </c>
      <c r="C212" s="165">
        <v>2083.4</v>
      </c>
      <c r="D212" s="129">
        <f t="shared" si="8"/>
        <v>-0.0065757895747337</v>
      </c>
      <c r="E212" s="165">
        <v>26046.95</v>
      </c>
      <c r="F212" s="153">
        <f t="shared" si="9"/>
        <v>-0.000754406945918884</v>
      </c>
    </row>
    <row r="213" ht="14.25" customHeight="1" spans="2:6">
      <c r="B213" s="136">
        <v>46002</v>
      </c>
      <c r="C213" s="165">
        <v>2053.2</v>
      </c>
      <c r="D213" s="129">
        <f t="shared" si="8"/>
        <v>0.0147087473212548</v>
      </c>
      <c r="E213" s="165">
        <v>25898.55</v>
      </c>
      <c r="F213" s="153">
        <f t="shared" si="9"/>
        <v>0.00573005052406406</v>
      </c>
    </row>
    <row r="214" ht="14.25" customHeight="1" spans="2:6">
      <c r="B214" s="136">
        <v>46001</v>
      </c>
      <c r="C214" s="165">
        <v>2067</v>
      </c>
      <c r="D214" s="129">
        <f t="shared" si="8"/>
        <v>-0.00667634252539917</v>
      </c>
      <c r="E214" s="165">
        <v>25758</v>
      </c>
      <c r="F214" s="153">
        <f t="shared" si="9"/>
        <v>0.00545655718611693</v>
      </c>
    </row>
    <row r="215" ht="14.25" customHeight="1" spans="2:6">
      <c r="B215" s="136">
        <v>46000</v>
      </c>
      <c r="C215" s="165">
        <v>2089.7</v>
      </c>
      <c r="D215" s="129">
        <f t="shared" si="8"/>
        <v>-0.010862803273197</v>
      </c>
      <c r="E215" s="165">
        <v>25839.65</v>
      </c>
      <c r="F215" s="153">
        <f t="shared" si="9"/>
        <v>-0.00315987252149319</v>
      </c>
    </row>
    <row r="216" ht="14.25" customHeight="1" spans="2:6">
      <c r="B216" s="136">
        <v>45999</v>
      </c>
      <c r="C216" s="165">
        <v>2086.2</v>
      </c>
      <c r="D216" s="129">
        <f t="shared" ref="D216:D279" si="10">C215/C216-1</f>
        <v>0.00167769149650088</v>
      </c>
      <c r="E216" s="165">
        <v>25960.55</v>
      </c>
      <c r="F216" s="153">
        <f t="shared" ref="F216:F279" si="11">E215/E216-1</f>
        <v>-0.00465706620237238</v>
      </c>
    </row>
    <row r="217" ht="14.25" customHeight="1" spans="2:6">
      <c r="B217" s="136">
        <v>45996</v>
      </c>
      <c r="C217" s="165">
        <v>2108.8</v>
      </c>
      <c r="D217" s="129">
        <f t="shared" si="10"/>
        <v>-0.0107169954476481</v>
      </c>
      <c r="E217" s="165">
        <v>26186.45</v>
      </c>
      <c r="F217" s="153">
        <f t="shared" si="11"/>
        <v>-0.00862659887079009</v>
      </c>
    </row>
    <row r="218" ht="14.25" customHeight="1" spans="2:6">
      <c r="B218" s="136">
        <v>45995</v>
      </c>
      <c r="C218" s="165">
        <v>2103.8</v>
      </c>
      <c r="D218" s="129">
        <f t="shared" si="10"/>
        <v>0.00237665177298219</v>
      </c>
      <c r="E218" s="165">
        <v>26033.75</v>
      </c>
      <c r="F218" s="153">
        <f t="shared" si="11"/>
        <v>0.00586546310078262</v>
      </c>
    </row>
    <row r="219" ht="14.25" customHeight="1" spans="2:6">
      <c r="B219" s="136">
        <v>45994</v>
      </c>
      <c r="C219" s="165">
        <v>2086</v>
      </c>
      <c r="D219" s="129">
        <f t="shared" si="10"/>
        <v>0.00853307766059452</v>
      </c>
      <c r="E219" s="165">
        <v>25986</v>
      </c>
      <c r="F219" s="153">
        <f t="shared" si="11"/>
        <v>0.00183752789963831</v>
      </c>
    </row>
    <row r="220" ht="14.25" customHeight="1" spans="2:6">
      <c r="B220" s="136">
        <v>45993</v>
      </c>
      <c r="C220" s="165">
        <v>2104</v>
      </c>
      <c r="D220" s="129">
        <f t="shared" si="10"/>
        <v>-0.0085551330798479</v>
      </c>
      <c r="E220" s="165">
        <v>26032.2</v>
      </c>
      <c r="F220" s="153">
        <f t="shared" si="11"/>
        <v>-0.00177472514808585</v>
      </c>
    </row>
    <row r="221" ht="14.25" customHeight="1" spans="2:6">
      <c r="B221" s="136">
        <v>45992</v>
      </c>
      <c r="C221" s="165">
        <v>2089.7</v>
      </c>
      <c r="D221" s="129">
        <f t="shared" si="10"/>
        <v>0.00684308752452512</v>
      </c>
      <c r="E221" s="165">
        <v>26175.75</v>
      </c>
      <c r="F221" s="153">
        <f t="shared" si="11"/>
        <v>-0.00548408355061458</v>
      </c>
    </row>
    <row r="222" ht="14.25" customHeight="1" spans="2:6">
      <c r="B222" s="136">
        <v>45989</v>
      </c>
      <c r="C222" s="165">
        <v>2101.6</v>
      </c>
      <c r="D222" s="129">
        <f t="shared" si="10"/>
        <v>-0.00566235249333846</v>
      </c>
      <c r="E222" s="165">
        <v>26202.95</v>
      </c>
      <c r="F222" s="153">
        <f t="shared" si="11"/>
        <v>-0.00103805105913646</v>
      </c>
    </row>
    <row r="223" ht="14.25" customHeight="1" spans="2:6">
      <c r="B223" s="136">
        <v>45988</v>
      </c>
      <c r="C223" s="165">
        <v>2115.6</v>
      </c>
      <c r="D223" s="129">
        <f t="shared" si="10"/>
        <v>-0.00661750803554551</v>
      </c>
      <c r="E223" s="165">
        <v>26215.55</v>
      </c>
      <c r="F223" s="153">
        <f t="shared" si="11"/>
        <v>-0.000480630770668511</v>
      </c>
    </row>
    <row r="224" ht="14.25" customHeight="1" spans="2:6">
      <c r="B224" s="136">
        <v>45987</v>
      </c>
      <c r="C224" s="165">
        <v>2126.8</v>
      </c>
      <c r="D224" s="129">
        <f t="shared" si="10"/>
        <v>-0.00526612751551636</v>
      </c>
      <c r="E224" s="165">
        <v>26205.3</v>
      </c>
      <c r="F224" s="153">
        <f t="shared" si="11"/>
        <v>0.000391142249850152</v>
      </c>
    </row>
    <row r="225" ht="14.25" customHeight="1" spans="2:6">
      <c r="B225" s="136">
        <v>45986</v>
      </c>
      <c r="C225" s="165">
        <v>2161.6</v>
      </c>
      <c r="D225" s="129">
        <f t="shared" si="10"/>
        <v>-0.0160991857883048</v>
      </c>
      <c r="E225" s="165">
        <v>25884.8</v>
      </c>
      <c r="F225" s="153">
        <f t="shared" si="11"/>
        <v>0.0123817839040672</v>
      </c>
    </row>
    <row r="226" ht="14.25" customHeight="1" spans="2:6">
      <c r="B226" s="136">
        <v>45985</v>
      </c>
      <c r="C226" s="165">
        <v>2152.1</v>
      </c>
      <c r="D226" s="129">
        <f t="shared" si="10"/>
        <v>0.00441429301612373</v>
      </c>
      <c r="E226" s="165">
        <v>25959.5</v>
      </c>
      <c r="F226" s="153">
        <f t="shared" si="11"/>
        <v>-0.00287755927502453</v>
      </c>
    </row>
    <row r="227" ht="14.25" customHeight="1" spans="2:6">
      <c r="B227" s="136">
        <v>45982</v>
      </c>
      <c r="C227" s="165">
        <v>2162.7</v>
      </c>
      <c r="D227" s="129">
        <f t="shared" si="10"/>
        <v>-0.0049012808063994</v>
      </c>
      <c r="E227" s="165">
        <v>26068.15</v>
      </c>
      <c r="F227" s="153">
        <f t="shared" si="11"/>
        <v>-0.00416792139066258</v>
      </c>
    </row>
    <row r="228" ht="14.25" customHeight="1" spans="2:6">
      <c r="B228" s="136">
        <v>45981</v>
      </c>
      <c r="C228" s="165">
        <v>2158.3</v>
      </c>
      <c r="D228" s="129">
        <f t="shared" si="10"/>
        <v>0.00203864152342104</v>
      </c>
      <c r="E228" s="165">
        <v>26192.15</v>
      </c>
      <c r="F228" s="153">
        <f t="shared" si="11"/>
        <v>-0.00473424289338598</v>
      </c>
    </row>
    <row r="229" ht="14.25" customHeight="1" spans="2:6">
      <c r="B229" s="136">
        <v>45980</v>
      </c>
      <c r="C229" s="165">
        <v>2159.8</v>
      </c>
      <c r="D229" s="129">
        <f t="shared" si="10"/>
        <v>-0.00069450875081023</v>
      </c>
      <c r="E229" s="165">
        <v>26052.65</v>
      </c>
      <c r="F229" s="153">
        <f t="shared" si="11"/>
        <v>0.00535454166850591</v>
      </c>
    </row>
    <row r="230" ht="14.25" customHeight="1" spans="2:6">
      <c r="B230" s="136">
        <v>45979</v>
      </c>
      <c r="C230" s="165">
        <v>2149.2</v>
      </c>
      <c r="D230" s="129">
        <f t="shared" si="10"/>
        <v>0.00493206774613819</v>
      </c>
      <c r="E230" s="165">
        <v>25910.05</v>
      </c>
      <c r="F230" s="153">
        <f t="shared" si="11"/>
        <v>0.00550365591729851</v>
      </c>
    </row>
    <row r="231" ht="14.25" customHeight="1" spans="2:6">
      <c r="B231" s="136">
        <v>45978</v>
      </c>
      <c r="C231" s="165">
        <v>2112.2</v>
      </c>
      <c r="D231" s="129">
        <f t="shared" si="10"/>
        <v>0.017517280560553</v>
      </c>
      <c r="E231" s="165">
        <v>26013.45</v>
      </c>
      <c r="F231" s="153">
        <f t="shared" si="11"/>
        <v>-0.00397486684772685</v>
      </c>
    </row>
    <row r="232" ht="14.25" customHeight="1" spans="2:6">
      <c r="B232" s="136">
        <v>45975</v>
      </c>
      <c r="C232" s="165">
        <v>2100.7</v>
      </c>
      <c r="D232" s="129">
        <f t="shared" si="10"/>
        <v>0.00547436568762794</v>
      </c>
      <c r="E232" s="165">
        <v>25910.05</v>
      </c>
      <c r="F232" s="153">
        <f t="shared" si="11"/>
        <v>0.00399072946597956</v>
      </c>
    </row>
    <row r="233" ht="14.25" customHeight="1" spans="2:6">
      <c r="B233" s="136">
        <v>45974</v>
      </c>
      <c r="C233" s="165">
        <v>2091.8</v>
      </c>
      <c r="D233" s="129">
        <f t="shared" si="10"/>
        <v>0.00425470886317991</v>
      </c>
      <c r="E233" s="165">
        <v>25879.15</v>
      </c>
      <c r="F233" s="153">
        <f t="shared" si="11"/>
        <v>0.00119401139527375</v>
      </c>
    </row>
    <row r="234" ht="14.25" customHeight="1" spans="2:6">
      <c r="B234" s="136">
        <v>45973</v>
      </c>
      <c r="C234" s="165">
        <v>2073.8</v>
      </c>
      <c r="D234" s="129">
        <f t="shared" si="10"/>
        <v>0.00867971839135895</v>
      </c>
      <c r="E234" s="165">
        <v>25875.8</v>
      </c>
      <c r="F234" s="153">
        <f t="shared" si="11"/>
        <v>0.000129464596263729</v>
      </c>
    </row>
    <row r="235" ht="14.25" customHeight="1" spans="2:6">
      <c r="B235" s="136">
        <v>45972</v>
      </c>
      <c r="C235" s="165">
        <v>2042.3</v>
      </c>
      <c r="D235" s="129">
        <f t="shared" si="10"/>
        <v>0.0154237869069187</v>
      </c>
      <c r="E235" s="165">
        <v>25694.95</v>
      </c>
      <c r="F235" s="153">
        <f t="shared" si="11"/>
        <v>0.0070383480022338</v>
      </c>
    </row>
    <row r="236" ht="14.25" customHeight="1" spans="2:6">
      <c r="B236" s="136">
        <v>45971</v>
      </c>
      <c r="C236" s="165">
        <v>2019.8</v>
      </c>
      <c r="D236" s="129">
        <f t="shared" si="10"/>
        <v>0.011139716803644</v>
      </c>
      <c r="E236" s="165">
        <v>25574.35</v>
      </c>
      <c r="F236" s="153">
        <f t="shared" si="11"/>
        <v>0.00471566237265075</v>
      </c>
    </row>
    <row r="237" ht="14.25" customHeight="1" spans="2:6">
      <c r="B237" s="136">
        <v>45968</v>
      </c>
      <c r="C237" s="165">
        <v>2001.2</v>
      </c>
      <c r="D237" s="129">
        <f t="shared" si="10"/>
        <v>0.0092944233459924</v>
      </c>
      <c r="E237" s="165">
        <v>25492.3</v>
      </c>
      <c r="F237" s="153">
        <f t="shared" si="11"/>
        <v>0.00321861895552766</v>
      </c>
    </row>
    <row r="238" ht="14.25" customHeight="1" spans="2:6">
      <c r="B238" s="136">
        <v>45967</v>
      </c>
      <c r="C238" s="165">
        <v>2094.9</v>
      </c>
      <c r="D238" s="129">
        <f t="shared" si="10"/>
        <v>-0.044727671965249</v>
      </c>
      <c r="E238" s="165">
        <v>25509.7</v>
      </c>
      <c r="F238" s="153">
        <f t="shared" si="11"/>
        <v>-0.000682093478167167</v>
      </c>
    </row>
    <row r="239" ht="14.25" customHeight="1" spans="2:6">
      <c r="B239" s="136">
        <v>45965</v>
      </c>
      <c r="C239" s="165">
        <v>2113.3</v>
      </c>
      <c r="D239" s="129">
        <f t="shared" si="10"/>
        <v>-0.00870676193630815</v>
      </c>
      <c r="E239" s="165">
        <v>25597.65</v>
      </c>
      <c r="F239" s="153">
        <f t="shared" si="11"/>
        <v>-0.0034358622764199</v>
      </c>
    </row>
    <row r="240" ht="14.25" customHeight="1" spans="2:6">
      <c r="B240" s="136">
        <v>45964</v>
      </c>
      <c r="C240" s="165">
        <v>2074</v>
      </c>
      <c r="D240" s="129">
        <f t="shared" si="10"/>
        <v>0.0189488910318227</v>
      </c>
      <c r="E240" s="165">
        <v>25763.35</v>
      </c>
      <c r="F240" s="153">
        <f t="shared" si="11"/>
        <v>-0.00643161700632866</v>
      </c>
    </row>
    <row r="241" ht="14.25" customHeight="1" spans="2:6">
      <c r="B241" s="136">
        <v>45961</v>
      </c>
      <c r="C241" s="165">
        <v>2054.5</v>
      </c>
      <c r="D241" s="129">
        <f t="shared" si="10"/>
        <v>0.00949136042832799</v>
      </c>
      <c r="E241" s="165">
        <v>25722.1</v>
      </c>
      <c r="F241" s="153">
        <f t="shared" si="11"/>
        <v>0.00160367932633809</v>
      </c>
    </row>
    <row r="242" ht="14.25" customHeight="1" spans="2:6">
      <c r="B242" s="136">
        <v>45960</v>
      </c>
      <c r="C242" s="165">
        <v>2066.3</v>
      </c>
      <c r="D242" s="129">
        <f t="shared" si="10"/>
        <v>-0.00571069060639795</v>
      </c>
      <c r="E242" s="165">
        <v>25877.85</v>
      </c>
      <c r="F242" s="153">
        <f t="shared" si="11"/>
        <v>-0.00601866074654578</v>
      </c>
    </row>
    <row r="243" ht="14.25" customHeight="1" spans="2:6">
      <c r="B243" s="136">
        <v>45959</v>
      </c>
      <c r="C243" s="165">
        <v>2100.6</v>
      </c>
      <c r="D243" s="129">
        <f t="shared" si="10"/>
        <v>-0.0163286679996191</v>
      </c>
      <c r="E243" s="165">
        <v>26053.9</v>
      </c>
      <c r="F243" s="153">
        <f t="shared" si="11"/>
        <v>-0.00675714576320641</v>
      </c>
    </row>
    <row r="244" ht="14.25" customHeight="1" spans="2:6">
      <c r="B244" s="136">
        <v>45958</v>
      </c>
      <c r="C244" s="165">
        <v>2090.2</v>
      </c>
      <c r="D244" s="129">
        <f t="shared" si="10"/>
        <v>0.00497560042101242</v>
      </c>
      <c r="E244" s="165">
        <v>25936.2</v>
      </c>
      <c r="F244" s="153">
        <f t="shared" si="11"/>
        <v>0.00453805877499414</v>
      </c>
    </row>
    <row r="245" ht="14.25" customHeight="1" spans="2:6">
      <c r="B245" s="136">
        <v>45957</v>
      </c>
      <c r="C245" s="165">
        <v>2080.1</v>
      </c>
      <c r="D245" s="129">
        <f t="shared" si="10"/>
        <v>0.00485553579154852</v>
      </c>
      <c r="E245" s="165">
        <v>25966.05</v>
      </c>
      <c r="F245" s="153">
        <f t="shared" si="11"/>
        <v>-0.00114957800666637</v>
      </c>
    </row>
    <row r="246" ht="14.25" customHeight="1" spans="2:6">
      <c r="B246" s="136">
        <v>45954</v>
      </c>
      <c r="C246" s="165">
        <v>2029.3</v>
      </c>
      <c r="D246" s="129">
        <f t="shared" si="10"/>
        <v>0.025033262701424</v>
      </c>
      <c r="E246" s="165">
        <v>25795.15</v>
      </c>
      <c r="F246" s="153">
        <f t="shared" si="11"/>
        <v>0.00662527645700828</v>
      </c>
    </row>
    <row r="247" ht="14.25" customHeight="1" spans="2:6">
      <c r="B247" s="136">
        <v>45953</v>
      </c>
      <c r="C247" s="165">
        <v>2007.9</v>
      </c>
      <c r="D247" s="129">
        <f t="shared" si="10"/>
        <v>0.0106579012899048</v>
      </c>
      <c r="E247" s="165">
        <v>25891.4</v>
      </c>
      <c r="F247" s="153">
        <f t="shared" si="11"/>
        <v>-0.00371745058204653</v>
      </c>
    </row>
    <row r="248" ht="14.25" customHeight="1" spans="2:6">
      <c r="B248" s="136">
        <v>45951</v>
      </c>
      <c r="C248" s="165">
        <v>2043.5</v>
      </c>
      <c r="D248" s="129">
        <f t="shared" si="10"/>
        <v>-0.0174210912649865</v>
      </c>
      <c r="E248" s="165">
        <v>25868.6</v>
      </c>
      <c r="F248" s="153">
        <f t="shared" si="11"/>
        <v>0.000881377422821572</v>
      </c>
    </row>
    <row r="249" ht="14.25" customHeight="1" spans="2:6">
      <c r="B249" s="136">
        <v>45950</v>
      </c>
      <c r="C249" s="165">
        <v>2051.5</v>
      </c>
      <c r="D249" s="129">
        <f t="shared" si="10"/>
        <v>-0.00389958566902271</v>
      </c>
      <c r="E249" s="165">
        <v>25843.15</v>
      </c>
      <c r="F249" s="153">
        <f t="shared" si="11"/>
        <v>0.000984787071235393</v>
      </c>
    </row>
    <row r="250" ht="14.25" customHeight="1" spans="2:6">
      <c r="B250" s="136">
        <v>45947</v>
      </c>
      <c r="C250" s="165">
        <v>2012</v>
      </c>
      <c r="D250" s="129">
        <f t="shared" si="10"/>
        <v>0.0196322067594434</v>
      </c>
      <c r="E250" s="165">
        <v>25709.85</v>
      </c>
      <c r="F250" s="153">
        <f t="shared" si="11"/>
        <v>0.00518478326400196</v>
      </c>
    </row>
    <row r="251" ht="14.25" customHeight="1" spans="2:6">
      <c r="B251" s="136">
        <v>45946</v>
      </c>
      <c r="C251" s="165">
        <v>1967.4</v>
      </c>
      <c r="D251" s="129">
        <f t="shared" si="10"/>
        <v>0.0226695130629258</v>
      </c>
      <c r="E251" s="165">
        <v>25585.3</v>
      </c>
      <c r="F251" s="153">
        <f t="shared" si="11"/>
        <v>0.00486802968892297</v>
      </c>
    </row>
    <row r="252" ht="14.25" customHeight="1" spans="2:6">
      <c r="B252" s="136">
        <v>45945</v>
      </c>
      <c r="C252" s="165">
        <v>1968.5</v>
      </c>
      <c r="D252" s="129">
        <f t="shared" si="10"/>
        <v>-0.000558801117602203</v>
      </c>
      <c r="E252" s="165">
        <v>25323.55</v>
      </c>
      <c r="F252" s="153">
        <f t="shared" si="11"/>
        <v>0.0103362285303601</v>
      </c>
    </row>
    <row r="253" ht="14.25" customHeight="1" spans="2:6">
      <c r="B253" s="136">
        <v>45944</v>
      </c>
      <c r="C253" s="165">
        <v>1946.6</v>
      </c>
      <c r="D253" s="129">
        <f t="shared" si="10"/>
        <v>0.0112503852871675</v>
      </c>
      <c r="E253" s="165">
        <v>25145.5</v>
      </c>
      <c r="F253" s="153">
        <f t="shared" si="11"/>
        <v>0.00708078980334448</v>
      </c>
    </row>
    <row r="254" ht="14.25" customHeight="1" spans="2:6">
      <c r="B254" s="136">
        <v>45943</v>
      </c>
      <c r="C254" s="165">
        <v>1954.9</v>
      </c>
      <c r="D254" s="129">
        <f t="shared" si="10"/>
        <v>-0.004245741470152</v>
      </c>
      <c r="E254" s="165">
        <v>25227.35</v>
      </c>
      <c r="F254" s="153">
        <f t="shared" si="11"/>
        <v>-0.00324449456641296</v>
      </c>
    </row>
    <row r="255" ht="14.25" customHeight="1" spans="2:6">
      <c r="B255" s="136">
        <v>45940</v>
      </c>
      <c r="C255" s="165">
        <v>1939.9</v>
      </c>
      <c r="D255" s="129">
        <f t="shared" si="10"/>
        <v>0.00773235733800703</v>
      </c>
      <c r="E255" s="165">
        <v>25285.35</v>
      </c>
      <c r="F255" s="153">
        <f t="shared" si="11"/>
        <v>-0.00229381835727016</v>
      </c>
    </row>
    <row r="256" ht="14.25" customHeight="1" spans="2:6">
      <c r="B256" s="136">
        <v>45939</v>
      </c>
      <c r="C256" s="165">
        <v>1942</v>
      </c>
      <c r="D256" s="129">
        <f t="shared" si="10"/>
        <v>-0.00108135942327492</v>
      </c>
      <c r="E256" s="165">
        <v>25181.8</v>
      </c>
      <c r="F256" s="153">
        <f t="shared" si="11"/>
        <v>0.00411209683183889</v>
      </c>
    </row>
    <row r="257" ht="14.25" customHeight="1" spans="2:6">
      <c r="B257" s="136">
        <v>45938</v>
      </c>
      <c r="C257" s="165">
        <v>1943.5</v>
      </c>
      <c r="D257" s="129">
        <f t="shared" si="10"/>
        <v>-0.000771803447388697</v>
      </c>
      <c r="E257" s="165">
        <v>25046.15</v>
      </c>
      <c r="F257" s="153">
        <f t="shared" si="11"/>
        <v>0.00541600206019677</v>
      </c>
    </row>
    <row r="258" ht="14.25" customHeight="1" spans="2:6">
      <c r="B258" s="136">
        <v>45937</v>
      </c>
      <c r="C258" s="165">
        <v>1929</v>
      </c>
      <c r="D258" s="129">
        <f t="shared" si="10"/>
        <v>0.00751684810782782</v>
      </c>
      <c r="E258" s="165">
        <v>25108.3</v>
      </c>
      <c r="F258" s="153">
        <f t="shared" si="11"/>
        <v>-0.00247527709960438</v>
      </c>
    </row>
    <row r="259" ht="14.25" customHeight="1" spans="2:6">
      <c r="B259" s="136">
        <v>45936</v>
      </c>
      <c r="C259" s="165">
        <v>1903.1</v>
      </c>
      <c r="D259" s="129">
        <f t="shared" si="10"/>
        <v>0.0136093741789711</v>
      </c>
      <c r="E259" s="165">
        <v>25077.65</v>
      </c>
      <c r="F259" s="153">
        <f t="shared" si="11"/>
        <v>0.0012222038348888</v>
      </c>
    </row>
    <row r="260" ht="14.25" customHeight="1" spans="2:6">
      <c r="B260" s="136">
        <v>45933</v>
      </c>
      <c r="C260" s="165">
        <v>1896.7</v>
      </c>
      <c r="D260" s="129">
        <f t="shared" si="10"/>
        <v>0.00337428164707121</v>
      </c>
      <c r="E260" s="165">
        <v>24894.25</v>
      </c>
      <c r="F260" s="153">
        <f t="shared" si="11"/>
        <v>0.00736716309991259</v>
      </c>
    </row>
    <row r="261" ht="14.25" customHeight="1" spans="2:6">
      <c r="B261" s="136">
        <v>45931</v>
      </c>
      <c r="C261" s="165">
        <v>1867.6</v>
      </c>
      <c r="D261" s="129">
        <f t="shared" si="10"/>
        <v>0.0155814949668023</v>
      </c>
      <c r="E261" s="165">
        <v>24836.3</v>
      </c>
      <c r="F261" s="153">
        <f t="shared" si="11"/>
        <v>0.00233327830635011</v>
      </c>
    </row>
    <row r="262" ht="14.25" customHeight="1" spans="2:6">
      <c r="B262" s="136">
        <v>45930</v>
      </c>
      <c r="C262" s="165">
        <v>1878.4</v>
      </c>
      <c r="D262" s="129">
        <f t="shared" si="10"/>
        <v>-0.00574957410562194</v>
      </c>
      <c r="E262" s="165">
        <v>24611.1</v>
      </c>
      <c r="F262" s="153">
        <f t="shared" si="11"/>
        <v>0.00915034273153181</v>
      </c>
    </row>
    <row r="263" ht="14.25" customHeight="1" spans="2:6">
      <c r="B263" s="136">
        <v>45929</v>
      </c>
      <c r="C263" s="165">
        <v>1902.2</v>
      </c>
      <c r="D263" s="129">
        <f t="shared" si="10"/>
        <v>-0.0125118284092104</v>
      </c>
      <c r="E263" s="165">
        <v>24634.9</v>
      </c>
      <c r="F263" s="153">
        <f t="shared" si="11"/>
        <v>-0.000966109056663611</v>
      </c>
    </row>
    <row r="264" ht="14.25" customHeight="1" spans="2:6">
      <c r="B264" s="136">
        <v>45926</v>
      </c>
      <c r="C264" s="165">
        <v>1916.6</v>
      </c>
      <c r="D264" s="129">
        <f t="shared" si="10"/>
        <v>-0.00751330481060208</v>
      </c>
      <c r="E264" s="165">
        <v>24654.7</v>
      </c>
      <c r="F264" s="153">
        <f t="shared" si="11"/>
        <v>-0.000803092310999509</v>
      </c>
    </row>
    <row r="265" ht="14.25" customHeight="1" spans="2:6">
      <c r="B265" s="136">
        <v>45925</v>
      </c>
      <c r="C265" s="165">
        <v>1935.6</v>
      </c>
      <c r="D265" s="129">
        <f t="shared" si="10"/>
        <v>-0.00981607770200454</v>
      </c>
      <c r="E265" s="165">
        <v>24890.85</v>
      </c>
      <c r="F265" s="153">
        <f t="shared" si="11"/>
        <v>-0.00948742208482223</v>
      </c>
    </row>
    <row r="266" ht="14.25" customHeight="1" spans="2:6">
      <c r="B266" s="136">
        <v>45924</v>
      </c>
      <c r="C266" s="165">
        <v>1931.1</v>
      </c>
      <c r="D266" s="129">
        <f t="shared" si="10"/>
        <v>0.00233027807985087</v>
      </c>
      <c r="E266" s="165">
        <v>25056.9</v>
      </c>
      <c r="F266" s="153">
        <f t="shared" si="11"/>
        <v>-0.00662691713659724</v>
      </c>
    </row>
    <row r="267" ht="14.25" customHeight="1" spans="2:6">
      <c r="B267" s="136">
        <v>45923</v>
      </c>
      <c r="C267" s="165">
        <v>1938.7</v>
      </c>
      <c r="D267" s="129">
        <f t="shared" si="10"/>
        <v>-0.00392015267963075</v>
      </c>
      <c r="E267" s="165">
        <v>25169.5</v>
      </c>
      <c r="F267" s="153">
        <f t="shared" si="11"/>
        <v>-0.00447366852738429</v>
      </c>
    </row>
    <row r="268" ht="14.25" customHeight="1" spans="2:6">
      <c r="B268" s="136">
        <v>45922</v>
      </c>
      <c r="C268" s="165">
        <v>1956.2</v>
      </c>
      <c r="D268" s="129">
        <f t="shared" si="10"/>
        <v>-0.00894591555055724</v>
      </c>
      <c r="E268" s="165">
        <v>25202.35</v>
      </c>
      <c r="F268" s="153">
        <f t="shared" si="11"/>
        <v>-0.00130344987669795</v>
      </c>
    </row>
    <row r="269" ht="14.25" customHeight="1" spans="2:6">
      <c r="B269" s="136">
        <v>45919</v>
      </c>
      <c r="C269" s="165">
        <v>1962.4</v>
      </c>
      <c r="D269" s="129">
        <f t="shared" si="10"/>
        <v>-0.00315939665715448</v>
      </c>
      <c r="E269" s="165">
        <v>25327.05</v>
      </c>
      <c r="F269" s="153">
        <f t="shared" si="11"/>
        <v>-0.00492358960084183</v>
      </c>
    </row>
    <row r="270" ht="14.25" customHeight="1" spans="2:6">
      <c r="B270" s="136">
        <v>45918</v>
      </c>
      <c r="C270" s="165">
        <v>1941.1</v>
      </c>
      <c r="D270" s="129">
        <f t="shared" si="10"/>
        <v>0.0109731595487097</v>
      </c>
      <c r="E270" s="165">
        <v>25423.6</v>
      </c>
      <c r="F270" s="153">
        <f t="shared" si="11"/>
        <v>-0.00379765257477305</v>
      </c>
    </row>
    <row r="271" ht="14.25" customHeight="1" spans="2:6">
      <c r="B271" s="136">
        <v>45917</v>
      </c>
      <c r="C271" s="165">
        <v>1941.3</v>
      </c>
      <c r="D271" s="129">
        <f t="shared" si="10"/>
        <v>-0.000103023746973685</v>
      </c>
      <c r="E271" s="165">
        <v>25330.25</v>
      </c>
      <c r="F271" s="153">
        <f t="shared" si="11"/>
        <v>0.00368531696291985</v>
      </c>
    </row>
    <row r="272" ht="14.25" customHeight="1" spans="2:6">
      <c r="B272" s="136">
        <v>45916</v>
      </c>
      <c r="C272" s="165">
        <v>1939.5</v>
      </c>
      <c r="D272" s="129">
        <f t="shared" si="10"/>
        <v>0.000928074245939658</v>
      </c>
      <c r="E272" s="165">
        <v>25239.1</v>
      </c>
      <c r="F272" s="153">
        <f t="shared" si="11"/>
        <v>0.00361145999659263</v>
      </c>
    </row>
    <row r="273" ht="14.25" customHeight="1" spans="2:6">
      <c r="B273" s="136">
        <v>45915</v>
      </c>
      <c r="C273" s="165">
        <v>1904.5</v>
      </c>
      <c r="D273" s="129">
        <f t="shared" si="10"/>
        <v>0.0183775269099502</v>
      </c>
      <c r="E273" s="165">
        <v>25069.2</v>
      </c>
      <c r="F273" s="153">
        <f t="shared" si="11"/>
        <v>0.00677724059802465</v>
      </c>
    </row>
    <row r="274" ht="14.25" customHeight="1" spans="2:6">
      <c r="B274" s="136">
        <v>45912</v>
      </c>
      <c r="C274" s="165">
        <v>1902.6</v>
      </c>
      <c r="D274" s="129">
        <f t="shared" si="10"/>
        <v>0.00099863344896467</v>
      </c>
      <c r="E274" s="165">
        <v>25114</v>
      </c>
      <c r="F274" s="153">
        <f t="shared" si="11"/>
        <v>-0.00178386557298715</v>
      </c>
    </row>
    <row r="275" ht="14.25" customHeight="1" spans="2:6">
      <c r="B275" s="136">
        <v>45911</v>
      </c>
      <c r="C275" s="165">
        <v>1913</v>
      </c>
      <c r="D275" s="129">
        <f t="shared" si="10"/>
        <v>-0.0054364871928908</v>
      </c>
      <c r="E275" s="165">
        <v>25005.5</v>
      </c>
      <c r="F275" s="153">
        <f t="shared" si="11"/>
        <v>0.00433904541000985</v>
      </c>
    </row>
    <row r="276" ht="14.25" customHeight="1" spans="2:6">
      <c r="B276" s="136">
        <v>45910</v>
      </c>
      <c r="C276" s="165">
        <v>1891.4</v>
      </c>
      <c r="D276" s="129">
        <f t="shared" si="10"/>
        <v>0.0114201120862853</v>
      </c>
      <c r="E276" s="165">
        <v>24973.1</v>
      </c>
      <c r="F276" s="153">
        <f t="shared" si="11"/>
        <v>0.00129739599809398</v>
      </c>
    </row>
    <row r="277" ht="14.25" customHeight="1" spans="2:6">
      <c r="B277" s="136">
        <v>45909</v>
      </c>
      <c r="C277" s="165">
        <v>1893.7</v>
      </c>
      <c r="D277" s="129">
        <f t="shared" si="10"/>
        <v>-0.0012145535195649</v>
      </c>
      <c r="E277" s="165">
        <v>24868.6</v>
      </c>
      <c r="F277" s="153">
        <f t="shared" si="11"/>
        <v>0.0042020861648826</v>
      </c>
    </row>
    <row r="278" ht="14.25" customHeight="1" spans="2:6">
      <c r="B278" s="136">
        <v>45908</v>
      </c>
      <c r="C278" s="165">
        <v>1887.7</v>
      </c>
      <c r="D278" s="129">
        <f t="shared" si="10"/>
        <v>0.00317847115537417</v>
      </c>
      <c r="E278" s="165">
        <v>24773.15</v>
      </c>
      <c r="F278" s="153">
        <f t="shared" si="11"/>
        <v>0.00385296177514749</v>
      </c>
    </row>
    <row r="279" ht="14.25" customHeight="1" spans="2:6">
      <c r="B279" s="136">
        <v>45905</v>
      </c>
      <c r="C279" s="165">
        <v>1895.3</v>
      </c>
      <c r="D279" s="129">
        <f t="shared" si="10"/>
        <v>-0.00400991927399352</v>
      </c>
      <c r="E279" s="165">
        <v>24741</v>
      </c>
      <c r="F279" s="153">
        <f t="shared" si="11"/>
        <v>0.00129946243078294</v>
      </c>
    </row>
    <row r="280" ht="14.25" customHeight="1" spans="2:6">
      <c r="B280" s="136">
        <v>45904</v>
      </c>
      <c r="C280" s="165">
        <v>1880.4</v>
      </c>
      <c r="D280" s="129">
        <f t="shared" ref="D280:D343" si="12">C279/C280-1</f>
        <v>0.00792384599021467</v>
      </c>
      <c r="E280" s="165">
        <v>24734.3</v>
      </c>
      <c r="F280" s="153">
        <f t="shared" ref="F280:F343" si="13">E279/E280-1</f>
        <v>0.000270878900959337</v>
      </c>
    </row>
    <row r="281" ht="14.25" customHeight="1" spans="2:6">
      <c r="B281" s="136">
        <v>45903</v>
      </c>
      <c r="C281" s="165">
        <v>1883.9</v>
      </c>
      <c r="D281" s="129">
        <f t="shared" si="12"/>
        <v>-0.00185784808110834</v>
      </c>
      <c r="E281" s="165">
        <v>24715.05</v>
      </c>
      <c r="F281" s="153">
        <f t="shared" si="13"/>
        <v>0.000778877647425347</v>
      </c>
    </row>
    <row r="282" ht="14.25" customHeight="1" spans="2:6">
      <c r="B282" s="136">
        <v>45902</v>
      </c>
      <c r="C282" s="165">
        <v>1887.2</v>
      </c>
      <c r="D282" s="129">
        <f t="shared" si="12"/>
        <v>-0.00174862229758366</v>
      </c>
      <c r="E282" s="165">
        <v>24579.6</v>
      </c>
      <c r="F282" s="153">
        <f t="shared" si="13"/>
        <v>0.00551066738270767</v>
      </c>
    </row>
    <row r="283" ht="14.25" customHeight="1" spans="2:6">
      <c r="B283" s="136">
        <v>45901</v>
      </c>
      <c r="C283" s="165">
        <v>1900.6</v>
      </c>
      <c r="D283" s="129">
        <f t="shared" si="12"/>
        <v>-0.00705040513522037</v>
      </c>
      <c r="E283" s="165">
        <v>24625.05</v>
      </c>
      <c r="F283" s="153">
        <f t="shared" si="13"/>
        <v>-0.00184568153161113</v>
      </c>
    </row>
    <row r="284" ht="14.25" customHeight="1" spans="2:6">
      <c r="B284" s="136">
        <v>45898</v>
      </c>
      <c r="C284" s="165">
        <v>1888.8</v>
      </c>
      <c r="D284" s="129">
        <f t="shared" si="12"/>
        <v>0.00624735281660316</v>
      </c>
      <c r="E284" s="165">
        <v>24426.85</v>
      </c>
      <c r="F284" s="153">
        <f t="shared" si="13"/>
        <v>0.00811402206997625</v>
      </c>
    </row>
    <row r="285" ht="14.25" customHeight="1" spans="2:6">
      <c r="B285" s="136">
        <v>45897</v>
      </c>
      <c r="C285" s="165">
        <v>1881.1</v>
      </c>
      <c r="D285" s="129">
        <f t="shared" si="12"/>
        <v>0.00409334963585128</v>
      </c>
      <c r="E285" s="165">
        <v>24500.9</v>
      </c>
      <c r="F285" s="153">
        <f t="shared" si="13"/>
        <v>-0.00302233795493234</v>
      </c>
    </row>
    <row r="286" ht="14.25" customHeight="1" spans="2:6">
      <c r="B286" s="136">
        <v>45895</v>
      </c>
      <c r="C286" s="165">
        <v>1904.7</v>
      </c>
      <c r="D286" s="129">
        <f t="shared" si="12"/>
        <v>-0.0123904026880874</v>
      </c>
      <c r="E286" s="165">
        <v>24712.05</v>
      </c>
      <c r="F286" s="153">
        <f t="shared" si="13"/>
        <v>-0.00854441456698241</v>
      </c>
    </row>
    <row r="287" ht="14.25" customHeight="1" spans="2:6">
      <c r="B287" s="136">
        <v>45894</v>
      </c>
      <c r="C287" s="165">
        <v>1930.7</v>
      </c>
      <c r="D287" s="129">
        <f t="shared" si="12"/>
        <v>-0.0134666183249599</v>
      </c>
      <c r="E287" s="165">
        <v>24967.75</v>
      </c>
      <c r="F287" s="153">
        <f t="shared" si="13"/>
        <v>-0.0102412111623995</v>
      </c>
    </row>
    <row r="288" ht="14.25" customHeight="1" spans="2:6">
      <c r="B288" s="136">
        <v>45891</v>
      </c>
      <c r="C288" s="165">
        <v>1933.3</v>
      </c>
      <c r="D288" s="129">
        <f t="shared" si="12"/>
        <v>-0.00134485077328916</v>
      </c>
      <c r="E288" s="165">
        <v>24870.1</v>
      </c>
      <c r="F288" s="153">
        <f t="shared" si="13"/>
        <v>0.00392640158262347</v>
      </c>
    </row>
    <row r="289" ht="14.25" customHeight="1" spans="2:6">
      <c r="B289" s="136">
        <v>45890</v>
      </c>
      <c r="C289" s="165">
        <v>1929.9</v>
      </c>
      <c r="D289" s="129">
        <f t="shared" si="12"/>
        <v>0.00176174931343587</v>
      </c>
      <c r="E289" s="165">
        <v>25083.75</v>
      </c>
      <c r="F289" s="153">
        <f t="shared" si="13"/>
        <v>-0.0085174664872677</v>
      </c>
    </row>
    <row r="290" ht="14.25" customHeight="1" spans="2:6">
      <c r="B290" s="136">
        <v>45889</v>
      </c>
      <c r="C290" s="165">
        <v>1928.4</v>
      </c>
      <c r="D290" s="129">
        <f t="shared" si="12"/>
        <v>0.000777846919726155</v>
      </c>
      <c r="E290" s="165">
        <v>25050.55</v>
      </c>
      <c r="F290" s="153">
        <f t="shared" si="13"/>
        <v>0.0013253202025505</v>
      </c>
    </row>
    <row r="291" ht="14.25" customHeight="1" spans="2:6">
      <c r="B291" s="136">
        <v>45888</v>
      </c>
      <c r="C291" s="165">
        <v>1909.7</v>
      </c>
      <c r="D291" s="129">
        <f t="shared" si="12"/>
        <v>0.00979211394459867</v>
      </c>
      <c r="E291" s="165">
        <v>24980.65</v>
      </c>
      <c r="F291" s="153">
        <f t="shared" si="13"/>
        <v>0.00279816578031378</v>
      </c>
    </row>
    <row r="292" ht="14.25" customHeight="1" spans="2:6">
      <c r="B292" s="136">
        <v>45887</v>
      </c>
      <c r="C292" s="165">
        <v>1892.3</v>
      </c>
      <c r="D292" s="129">
        <f t="shared" si="12"/>
        <v>0.00919515932991599</v>
      </c>
      <c r="E292" s="165">
        <v>24876.95</v>
      </c>
      <c r="F292" s="153">
        <f t="shared" si="13"/>
        <v>0.00416851744285385</v>
      </c>
    </row>
    <row r="293" ht="14.25" customHeight="1" spans="2:6">
      <c r="B293" s="136">
        <v>45883</v>
      </c>
      <c r="C293" s="165">
        <v>1873.8</v>
      </c>
      <c r="D293" s="129">
        <f t="shared" si="12"/>
        <v>0.00987298537730807</v>
      </c>
      <c r="E293" s="165">
        <v>24631.3</v>
      </c>
      <c r="F293" s="153">
        <f t="shared" si="13"/>
        <v>0.00997308302850453</v>
      </c>
    </row>
    <row r="294" ht="14.25" customHeight="1" spans="2:6">
      <c r="B294" s="136">
        <v>45882</v>
      </c>
      <c r="C294" s="165">
        <v>1867.4</v>
      </c>
      <c r="D294" s="129">
        <f t="shared" si="12"/>
        <v>0.0034272250187426</v>
      </c>
      <c r="E294" s="165">
        <v>24619.35</v>
      </c>
      <c r="F294" s="153">
        <f t="shared" si="13"/>
        <v>0.000485390556615117</v>
      </c>
    </row>
    <row r="295" ht="14.25" customHeight="1" spans="2:6">
      <c r="B295" s="136">
        <v>45881</v>
      </c>
      <c r="C295" s="165">
        <v>1850.3</v>
      </c>
      <c r="D295" s="129">
        <f t="shared" si="12"/>
        <v>0.0092417445819597</v>
      </c>
      <c r="E295" s="165">
        <v>24487.4</v>
      </c>
      <c r="F295" s="153">
        <f t="shared" si="13"/>
        <v>0.00538848550683202</v>
      </c>
    </row>
    <row r="296" ht="14.25" customHeight="1" spans="2:6">
      <c r="B296" s="136">
        <v>45880</v>
      </c>
      <c r="C296" s="165">
        <v>1857.4</v>
      </c>
      <c r="D296" s="129">
        <f t="shared" si="12"/>
        <v>-0.00382254764724888</v>
      </c>
      <c r="E296" s="165">
        <v>24585.05</v>
      </c>
      <c r="F296" s="153">
        <f t="shared" si="13"/>
        <v>-0.00397192602821628</v>
      </c>
    </row>
    <row r="297" ht="14.25" customHeight="1" spans="2:6">
      <c r="B297" s="136">
        <v>45877</v>
      </c>
      <c r="C297" s="165">
        <v>1858.6</v>
      </c>
      <c r="D297" s="129">
        <f t="shared" si="12"/>
        <v>-0.00064564726137939</v>
      </c>
      <c r="E297" s="165">
        <v>24363.3</v>
      </c>
      <c r="F297" s="153">
        <f t="shared" si="13"/>
        <v>0.00910180476372258</v>
      </c>
    </row>
    <row r="298" ht="14.25" customHeight="1" spans="2:6">
      <c r="B298" s="136">
        <v>45876</v>
      </c>
      <c r="C298" s="165">
        <v>1922.6</v>
      </c>
      <c r="D298" s="129">
        <f t="shared" si="12"/>
        <v>-0.0332882554873609</v>
      </c>
      <c r="E298" s="165">
        <v>24596.15</v>
      </c>
      <c r="F298" s="153">
        <f t="shared" si="13"/>
        <v>-0.00946692876730715</v>
      </c>
    </row>
    <row r="299" ht="14.25" customHeight="1" spans="2:6">
      <c r="B299" s="136">
        <v>45875</v>
      </c>
      <c r="C299" s="165">
        <v>1929.7</v>
      </c>
      <c r="D299" s="129">
        <f t="shared" si="12"/>
        <v>-0.00367932839301455</v>
      </c>
      <c r="E299" s="165">
        <v>24574.2</v>
      </c>
      <c r="F299" s="153">
        <f t="shared" si="13"/>
        <v>0.000893213207347587</v>
      </c>
    </row>
    <row r="300" ht="14.25" customHeight="1" spans="2:6">
      <c r="B300" s="136">
        <v>45874</v>
      </c>
      <c r="C300" s="165">
        <v>1931.8</v>
      </c>
      <c r="D300" s="129">
        <f t="shared" si="12"/>
        <v>-0.00108706905476752</v>
      </c>
      <c r="E300" s="165">
        <v>24649.55</v>
      </c>
      <c r="F300" s="153">
        <f t="shared" si="13"/>
        <v>-0.00305685093642682</v>
      </c>
    </row>
    <row r="301" ht="14.25" customHeight="1" spans="2:6">
      <c r="B301" s="136">
        <v>45873</v>
      </c>
      <c r="C301" s="165">
        <v>1914.6</v>
      </c>
      <c r="D301" s="129">
        <f t="shared" si="12"/>
        <v>0.00898359970751073</v>
      </c>
      <c r="E301" s="165">
        <v>24722.75</v>
      </c>
      <c r="F301" s="153">
        <f t="shared" si="13"/>
        <v>-0.00296083566755323</v>
      </c>
    </row>
    <row r="302" ht="14.25" customHeight="1" spans="2:6">
      <c r="B302" s="136">
        <v>45870</v>
      </c>
      <c r="C302" s="165">
        <v>1884.4</v>
      </c>
      <c r="D302" s="129">
        <f t="shared" si="12"/>
        <v>0.0160263213755041</v>
      </c>
      <c r="E302" s="165">
        <v>24565.35</v>
      </c>
      <c r="F302" s="153">
        <f t="shared" si="13"/>
        <v>0.00640739903970444</v>
      </c>
    </row>
    <row r="303" ht="14.25" customHeight="1" spans="2:6">
      <c r="B303" s="136">
        <v>45869</v>
      </c>
      <c r="C303" s="165">
        <v>1914.3</v>
      </c>
      <c r="D303" s="129">
        <f t="shared" si="12"/>
        <v>-0.0156192864232356</v>
      </c>
      <c r="E303" s="165">
        <v>24768.35</v>
      </c>
      <c r="F303" s="153">
        <f t="shared" si="13"/>
        <v>-0.00819594361352294</v>
      </c>
    </row>
    <row r="304" ht="14.25" customHeight="1" spans="2:6">
      <c r="B304" s="136">
        <v>45868</v>
      </c>
      <c r="C304" s="165">
        <v>1932.6</v>
      </c>
      <c r="D304" s="129">
        <f t="shared" si="12"/>
        <v>-0.00946910897236886</v>
      </c>
      <c r="E304" s="165">
        <v>24855.05</v>
      </c>
      <c r="F304" s="153">
        <f t="shared" si="13"/>
        <v>-0.00348822472696697</v>
      </c>
    </row>
    <row r="305" ht="14.25" customHeight="1" spans="2:6">
      <c r="B305" s="136">
        <v>45867</v>
      </c>
      <c r="C305" s="165">
        <v>1918.3</v>
      </c>
      <c r="D305" s="129">
        <f t="shared" si="12"/>
        <v>0.00745451702027844</v>
      </c>
      <c r="E305" s="165">
        <v>24821.1</v>
      </c>
      <c r="F305" s="153">
        <f t="shared" si="13"/>
        <v>0.00136778789014191</v>
      </c>
    </row>
    <row r="306" ht="14.25" customHeight="1" spans="2:6">
      <c r="B306" s="136">
        <v>45866</v>
      </c>
      <c r="C306" s="165">
        <v>1890.3</v>
      </c>
      <c r="D306" s="129">
        <f t="shared" si="12"/>
        <v>0.0148124636301117</v>
      </c>
      <c r="E306" s="165">
        <v>24680.9</v>
      </c>
      <c r="F306" s="153">
        <f t="shared" si="13"/>
        <v>0.00568050597830694</v>
      </c>
    </row>
    <row r="307" ht="14.25" customHeight="1" spans="2:6">
      <c r="B307" s="136">
        <v>45863</v>
      </c>
      <c r="C307" s="165">
        <v>1937.9</v>
      </c>
      <c r="D307" s="129">
        <f t="shared" si="12"/>
        <v>-0.0245626709324527</v>
      </c>
      <c r="E307" s="165">
        <v>24837</v>
      </c>
      <c r="F307" s="153">
        <f t="shared" si="13"/>
        <v>-0.00628497805693118</v>
      </c>
    </row>
    <row r="308" ht="14.25" customHeight="1" spans="2:6">
      <c r="B308" s="136">
        <v>45862</v>
      </c>
      <c r="C308" s="165">
        <v>1936.1</v>
      </c>
      <c r="D308" s="129">
        <f t="shared" si="12"/>
        <v>0.000929704044212665</v>
      </c>
      <c r="E308" s="165">
        <v>25062.1</v>
      </c>
      <c r="F308" s="153">
        <f t="shared" si="13"/>
        <v>-0.00898168948332334</v>
      </c>
    </row>
    <row r="309" ht="14.25" customHeight="1" spans="2:6">
      <c r="B309" s="136">
        <v>45861</v>
      </c>
      <c r="C309" s="165">
        <v>1943.8</v>
      </c>
      <c r="D309" s="129">
        <f t="shared" si="12"/>
        <v>-0.00396131289227286</v>
      </c>
      <c r="E309" s="165">
        <v>25219.9</v>
      </c>
      <c r="F309" s="153">
        <f t="shared" si="13"/>
        <v>-0.00625696374688256</v>
      </c>
    </row>
    <row r="310" ht="14.25" customHeight="1" spans="2:6">
      <c r="B310" s="136">
        <v>45860</v>
      </c>
      <c r="C310" s="165">
        <v>1906.8</v>
      </c>
      <c r="D310" s="129">
        <f t="shared" si="12"/>
        <v>0.0194042374659116</v>
      </c>
      <c r="E310" s="165">
        <v>25060.9</v>
      </c>
      <c r="F310" s="153">
        <f t="shared" si="13"/>
        <v>0.00634454468913725</v>
      </c>
    </row>
    <row r="311" ht="14.25" customHeight="1" spans="2:6">
      <c r="B311" s="136">
        <v>45859</v>
      </c>
      <c r="C311" s="165">
        <v>1909.2</v>
      </c>
      <c r="D311" s="129">
        <f t="shared" si="12"/>
        <v>-0.00125707102451289</v>
      </c>
      <c r="E311" s="165">
        <v>25090.7</v>
      </c>
      <c r="F311" s="153">
        <f t="shared" si="13"/>
        <v>-0.00118769105684569</v>
      </c>
    </row>
    <row r="312" ht="14.25" customHeight="1" spans="2:6">
      <c r="B312" s="136">
        <v>45856</v>
      </c>
      <c r="C312" s="165">
        <v>1901</v>
      </c>
      <c r="D312" s="129">
        <f t="shared" si="12"/>
        <v>0.00431351920042089</v>
      </c>
      <c r="E312" s="165">
        <v>24968.4</v>
      </c>
      <c r="F312" s="153">
        <f t="shared" si="13"/>
        <v>0.00489819131382063</v>
      </c>
    </row>
    <row r="313" ht="14.25" customHeight="1" spans="2:6">
      <c r="B313" s="136">
        <v>45855</v>
      </c>
      <c r="C313" s="165">
        <v>1929.9</v>
      </c>
      <c r="D313" s="129">
        <f t="shared" si="12"/>
        <v>-0.0149748691642054</v>
      </c>
      <c r="E313" s="165">
        <v>25111.45</v>
      </c>
      <c r="F313" s="153">
        <f t="shared" si="13"/>
        <v>-0.00569660453697418</v>
      </c>
    </row>
    <row r="314" ht="14.25" customHeight="1" spans="2:6">
      <c r="B314" s="136">
        <v>45854</v>
      </c>
      <c r="C314" s="165">
        <v>1936.6</v>
      </c>
      <c r="D314" s="129">
        <f t="shared" si="12"/>
        <v>-0.00345967158938332</v>
      </c>
      <c r="E314" s="165">
        <v>25212.05</v>
      </c>
      <c r="F314" s="153">
        <f t="shared" si="13"/>
        <v>-0.00399015550104009</v>
      </c>
    </row>
    <row r="315" ht="14.25" customHeight="1" spans="2:6">
      <c r="B315" s="136">
        <v>45853</v>
      </c>
      <c r="C315" s="165">
        <v>1934.2</v>
      </c>
      <c r="D315" s="129">
        <f t="shared" si="12"/>
        <v>0.00124082307930928</v>
      </c>
      <c r="E315" s="165">
        <v>25195.8</v>
      </c>
      <c r="F315" s="153">
        <f t="shared" si="13"/>
        <v>0.000644948761301389</v>
      </c>
    </row>
    <row r="316" ht="14.25" customHeight="1" spans="2:6">
      <c r="B316" s="136">
        <v>45852</v>
      </c>
      <c r="C316" s="165">
        <v>1920.9</v>
      </c>
      <c r="D316" s="129">
        <f t="shared" si="12"/>
        <v>0.00692383778437189</v>
      </c>
      <c r="E316" s="165">
        <v>25082.3</v>
      </c>
      <c r="F316" s="153">
        <f t="shared" si="13"/>
        <v>0.00452510335973977</v>
      </c>
    </row>
    <row r="317" ht="14.25" customHeight="1" spans="2:6">
      <c r="B317" s="136">
        <v>45849</v>
      </c>
      <c r="C317" s="165">
        <v>1921.9</v>
      </c>
      <c r="D317" s="129">
        <f t="shared" si="12"/>
        <v>-0.000520318434882094</v>
      </c>
      <c r="E317" s="165">
        <v>25149.85</v>
      </c>
      <c r="F317" s="153">
        <f t="shared" si="13"/>
        <v>-0.00268590071113739</v>
      </c>
    </row>
    <row r="318" ht="14.25" customHeight="1" spans="2:6">
      <c r="B318" s="136">
        <v>45848</v>
      </c>
      <c r="C318" s="165">
        <v>1964.5</v>
      </c>
      <c r="D318" s="129">
        <f t="shared" si="12"/>
        <v>-0.0216849071010434</v>
      </c>
      <c r="E318" s="165">
        <v>25355.25</v>
      </c>
      <c r="F318" s="153">
        <f t="shared" si="13"/>
        <v>-0.00810088640419637</v>
      </c>
    </row>
    <row r="319" ht="14.25" customHeight="1" spans="2:6">
      <c r="B319" s="136">
        <v>45847</v>
      </c>
      <c r="C319" s="165">
        <v>2019.7</v>
      </c>
      <c r="D319" s="129">
        <f t="shared" si="12"/>
        <v>-0.0273307917017379</v>
      </c>
      <c r="E319" s="165">
        <v>25476.1</v>
      </c>
      <c r="F319" s="153">
        <f t="shared" si="13"/>
        <v>-0.00474366170646212</v>
      </c>
    </row>
    <row r="320" ht="14.25" customHeight="1" spans="2:6">
      <c r="B320" s="136">
        <v>45846</v>
      </c>
      <c r="C320" s="165">
        <v>2030</v>
      </c>
      <c r="D320" s="129">
        <f t="shared" si="12"/>
        <v>-0.00507389162561578</v>
      </c>
      <c r="E320" s="165">
        <v>25522.5</v>
      </c>
      <c r="F320" s="153">
        <f t="shared" si="13"/>
        <v>-0.00181800372220597</v>
      </c>
    </row>
    <row r="321" ht="14.25" customHeight="1" spans="2:6">
      <c r="B321" s="136">
        <v>45845</v>
      </c>
      <c r="C321" s="165">
        <v>2033.9</v>
      </c>
      <c r="D321" s="129">
        <f t="shared" si="12"/>
        <v>-0.00191749840208466</v>
      </c>
      <c r="E321" s="165">
        <v>25461.3</v>
      </c>
      <c r="F321" s="153">
        <f t="shared" si="13"/>
        <v>0.00240364788914937</v>
      </c>
    </row>
    <row r="322" ht="14.25" customHeight="1" spans="2:6">
      <c r="B322" s="136">
        <v>45842</v>
      </c>
      <c r="C322" s="165">
        <v>2017.2</v>
      </c>
      <c r="D322" s="129">
        <f t="shared" si="12"/>
        <v>0.00827880230021805</v>
      </c>
      <c r="E322" s="165">
        <v>25461</v>
      </c>
      <c r="F322" s="153">
        <f t="shared" si="13"/>
        <v>1.17827265229131e-5</v>
      </c>
    </row>
    <row r="323" ht="14.25" customHeight="1" spans="2:6">
      <c r="B323" s="136">
        <v>45841</v>
      </c>
      <c r="C323" s="165">
        <v>2019.3</v>
      </c>
      <c r="D323" s="129">
        <f t="shared" si="12"/>
        <v>-0.0010399643440796</v>
      </c>
      <c r="E323" s="165">
        <v>25405.3</v>
      </c>
      <c r="F323" s="153">
        <f t="shared" si="13"/>
        <v>0.00219245590487027</v>
      </c>
    </row>
    <row r="324" ht="14.25" customHeight="1" spans="2:6">
      <c r="B324" s="136">
        <v>45840</v>
      </c>
      <c r="C324" s="165">
        <v>2033.3</v>
      </c>
      <c r="D324" s="129">
        <f t="shared" si="12"/>
        <v>-0.00688535877637342</v>
      </c>
      <c r="E324" s="165">
        <v>25453.4</v>
      </c>
      <c r="F324" s="153">
        <f t="shared" si="13"/>
        <v>-0.00188972789489816</v>
      </c>
    </row>
    <row r="325" ht="14.25" customHeight="1" spans="2:6">
      <c r="B325" s="136">
        <v>45839</v>
      </c>
      <c r="C325" s="165">
        <v>2019.4</v>
      </c>
      <c r="D325" s="129">
        <f t="shared" si="12"/>
        <v>0.00688323264335944</v>
      </c>
      <c r="E325" s="165">
        <v>25541.8</v>
      </c>
      <c r="F325" s="153">
        <f t="shared" si="13"/>
        <v>-0.00346099335207373</v>
      </c>
    </row>
    <row r="326" ht="14.25" customHeight="1" spans="2:6">
      <c r="B326" s="136">
        <v>45838</v>
      </c>
      <c r="C326" s="165">
        <v>2009.6</v>
      </c>
      <c r="D326" s="129">
        <f t="shared" si="12"/>
        <v>0.00487659235668803</v>
      </c>
      <c r="E326" s="165">
        <v>25517.05</v>
      </c>
      <c r="F326" s="153">
        <f t="shared" si="13"/>
        <v>0.000969939706980227</v>
      </c>
    </row>
    <row r="327" ht="14.25" customHeight="1" spans="2:6">
      <c r="B327" s="136">
        <v>45835</v>
      </c>
      <c r="C327" s="165">
        <v>2027.1</v>
      </c>
      <c r="D327" s="129">
        <f t="shared" si="12"/>
        <v>-0.0086330225445217</v>
      </c>
      <c r="E327" s="165">
        <v>25637.8</v>
      </c>
      <c r="F327" s="153">
        <f t="shared" si="13"/>
        <v>-0.00470984249818629</v>
      </c>
    </row>
    <row r="328" ht="14.25" customHeight="1" spans="2:6">
      <c r="B328" s="136">
        <v>45834</v>
      </c>
      <c r="C328" s="165">
        <v>2014.3</v>
      </c>
      <c r="D328" s="129">
        <f t="shared" si="12"/>
        <v>0.0063545648612422</v>
      </c>
      <c r="E328" s="165">
        <v>25549</v>
      </c>
      <c r="F328" s="153">
        <f t="shared" si="13"/>
        <v>0.00347567419468464</v>
      </c>
    </row>
    <row r="329" ht="14.25" customHeight="1" spans="2:6">
      <c r="B329" s="136">
        <v>45833</v>
      </c>
      <c r="C329" s="165">
        <v>1965.6</v>
      </c>
      <c r="D329" s="129">
        <f t="shared" si="12"/>
        <v>0.0247761497761498</v>
      </c>
      <c r="E329" s="165">
        <v>25244.75</v>
      </c>
      <c r="F329" s="153">
        <f t="shared" si="13"/>
        <v>0.0120520108141298</v>
      </c>
    </row>
    <row r="330" ht="14.25" customHeight="1" spans="2:6">
      <c r="B330" s="136">
        <v>45832</v>
      </c>
      <c r="C330" s="165">
        <v>1933.6</v>
      </c>
      <c r="D330" s="129">
        <f t="shared" si="12"/>
        <v>0.016549441456351</v>
      </c>
      <c r="E330" s="165">
        <v>25044.35</v>
      </c>
      <c r="F330" s="153">
        <f t="shared" si="13"/>
        <v>0.00800180479828794</v>
      </c>
    </row>
    <row r="331" ht="14.25" customHeight="1" spans="2:6">
      <c r="B331" s="136">
        <v>45831</v>
      </c>
      <c r="C331" s="165">
        <v>1936.3</v>
      </c>
      <c r="D331" s="129">
        <f t="shared" si="12"/>
        <v>-0.00139441202293034</v>
      </c>
      <c r="E331" s="165">
        <v>24971.9</v>
      </c>
      <c r="F331" s="153">
        <f t="shared" si="13"/>
        <v>0.00290126101738353</v>
      </c>
    </row>
    <row r="332" ht="14.25" customHeight="1" spans="2:6">
      <c r="B332" s="136">
        <v>45828</v>
      </c>
      <c r="C332" s="165">
        <v>1936.7</v>
      </c>
      <c r="D332" s="129">
        <f t="shared" si="12"/>
        <v>-0.000206536892652487</v>
      </c>
      <c r="E332" s="165">
        <v>25112.4</v>
      </c>
      <c r="F332" s="153">
        <f t="shared" si="13"/>
        <v>-0.0055948455742979</v>
      </c>
    </row>
    <row r="333" ht="14.25" customHeight="1" spans="2:6">
      <c r="B333" s="136">
        <v>45827</v>
      </c>
      <c r="C333" s="165">
        <v>1877</v>
      </c>
      <c r="D333" s="129">
        <f t="shared" si="12"/>
        <v>0.031806073521577</v>
      </c>
      <c r="E333" s="165">
        <v>24793.25</v>
      </c>
      <c r="F333" s="153">
        <f t="shared" si="13"/>
        <v>0.0128724552045416</v>
      </c>
    </row>
    <row r="334" ht="14.25" customHeight="1" spans="2:6">
      <c r="B334" s="136">
        <v>45826</v>
      </c>
      <c r="C334" s="165">
        <v>1865.9</v>
      </c>
      <c r="D334" s="129">
        <f t="shared" si="12"/>
        <v>0.00594887185808446</v>
      </c>
      <c r="E334" s="165">
        <v>24812.05</v>
      </c>
      <c r="F334" s="153">
        <f t="shared" si="13"/>
        <v>-0.000757696361243787</v>
      </c>
    </row>
    <row r="335" ht="14.25" customHeight="1" spans="2:6">
      <c r="B335" s="136">
        <v>45825</v>
      </c>
      <c r="C335" s="165">
        <v>1854.8</v>
      </c>
      <c r="D335" s="129">
        <f t="shared" si="12"/>
        <v>0.0059844727194307</v>
      </c>
      <c r="E335" s="165">
        <v>24853.4</v>
      </c>
      <c r="F335" s="153">
        <f t="shared" si="13"/>
        <v>-0.00166375626674831</v>
      </c>
    </row>
    <row r="336" ht="14.25" customHeight="1" spans="2:6">
      <c r="B336" s="136">
        <v>45824</v>
      </c>
      <c r="C336" s="165">
        <v>1861.3</v>
      </c>
      <c r="D336" s="129">
        <f t="shared" si="12"/>
        <v>-0.00349218288293129</v>
      </c>
      <c r="E336" s="165">
        <v>24946.5</v>
      </c>
      <c r="F336" s="153">
        <f t="shared" si="13"/>
        <v>-0.00373198645100514</v>
      </c>
    </row>
    <row r="337" ht="14.25" customHeight="1" spans="2:6">
      <c r="B337" s="136">
        <v>45821</v>
      </c>
      <c r="C337" s="165">
        <v>1840.4</v>
      </c>
      <c r="D337" s="129">
        <f t="shared" si="12"/>
        <v>0.0113562269071941</v>
      </c>
      <c r="E337" s="165">
        <v>24718.6</v>
      </c>
      <c r="F337" s="153">
        <f t="shared" si="13"/>
        <v>0.0092197778191323</v>
      </c>
    </row>
    <row r="338" ht="14.25" customHeight="1" spans="2:6">
      <c r="B338" s="136">
        <v>45820</v>
      </c>
      <c r="C338" s="165">
        <v>1844.2</v>
      </c>
      <c r="D338" s="129">
        <f t="shared" si="12"/>
        <v>-0.00206051404402996</v>
      </c>
      <c r="E338" s="165">
        <v>24888.2</v>
      </c>
      <c r="F338" s="153">
        <f t="shared" si="13"/>
        <v>-0.00681447432920024</v>
      </c>
    </row>
    <row r="339" ht="14.25" customHeight="1" spans="2:6">
      <c r="B339" s="136">
        <v>45819</v>
      </c>
      <c r="C339" s="165">
        <v>1860.2</v>
      </c>
      <c r="D339" s="129">
        <f t="shared" si="12"/>
        <v>-0.0086012256746586</v>
      </c>
      <c r="E339" s="165">
        <v>25141.4</v>
      </c>
      <c r="F339" s="153">
        <f t="shared" si="13"/>
        <v>-0.0100710382078961</v>
      </c>
    </row>
    <row r="340" ht="14.25" customHeight="1" spans="2:6">
      <c r="B340" s="136">
        <v>45818</v>
      </c>
      <c r="C340" s="165">
        <v>1857.1</v>
      </c>
      <c r="D340" s="129">
        <f t="shared" si="12"/>
        <v>0.00166926929082978</v>
      </c>
      <c r="E340" s="165">
        <v>25104.25</v>
      </c>
      <c r="F340" s="153">
        <f t="shared" si="13"/>
        <v>0.00147982911260058</v>
      </c>
    </row>
    <row r="341" ht="14.25" customHeight="1" spans="2:6">
      <c r="B341" s="136">
        <v>45817</v>
      </c>
      <c r="C341" s="165">
        <v>1865.1</v>
      </c>
      <c r="D341" s="129">
        <f t="shared" si="12"/>
        <v>-0.00428931424588497</v>
      </c>
      <c r="E341" s="165">
        <v>25103.2</v>
      </c>
      <c r="F341" s="153">
        <f t="shared" si="13"/>
        <v>4.18273367539523e-5</v>
      </c>
    </row>
    <row r="342" ht="14.25" customHeight="1" spans="2:6">
      <c r="B342" s="136">
        <v>45814</v>
      </c>
      <c r="C342" s="165">
        <v>1870.2</v>
      </c>
      <c r="D342" s="129">
        <f t="shared" si="12"/>
        <v>-0.00272698107154323</v>
      </c>
      <c r="E342" s="165">
        <v>25003.05</v>
      </c>
      <c r="F342" s="153">
        <f t="shared" si="13"/>
        <v>0.00400551132761806</v>
      </c>
    </row>
    <row r="343" ht="14.25" customHeight="1" spans="2:6">
      <c r="B343" s="136">
        <v>45813</v>
      </c>
      <c r="C343" s="165">
        <v>1878.8</v>
      </c>
      <c r="D343" s="129">
        <f t="shared" si="12"/>
        <v>-0.00457738982329137</v>
      </c>
      <c r="E343" s="165">
        <v>24750.9</v>
      </c>
      <c r="F343" s="153">
        <f t="shared" si="13"/>
        <v>0.0101875083330303</v>
      </c>
    </row>
    <row r="344" ht="14.25" customHeight="1" spans="2:6">
      <c r="B344" s="136">
        <v>45812</v>
      </c>
      <c r="C344" s="165">
        <v>1875.4</v>
      </c>
      <c r="D344" s="129">
        <f t="shared" ref="D344:D407" si="14">C343/C344-1</f>
        <v>0.00181294657139808</v>
      </c>
      <c r="E344" s="165">
        <v>24620.2</v>
      </c>
      <c r="F344" s="153">
        <f t="shared" ref="F344:F407" si="15">E343/E344-1</f>
        <v>0.00530864899554029</v>
      </c>
    </row>
    <row r="345" ht="14.25" customHeight="1" spans="2:6">
      <c r="B345" s="136">
        <v>45811</v>
      </c>
      <c r="C345" s="165">
        <v>1841.3</v>
      </c>
      <c r="D345" s="129">
        <f t="shared" si="14"/>
        <v>0.0185195242491718</v>
      </c>
      <c r="E345" s="165">
        <v>24542.5</v>
      </c>
      <c r="F345" s="153">
        <f t="shared" si="15"/>
        <v>0.00316593664052167</v>
      </c>
    </row>
    <row r="346" ht="14.25" customHeight="1" spans="2:6">
      <c r="B346" s="136">
        <v>45810</v>
      </c>
      <c r="C346" s="165">
        <v>1854.1</v>
      </c>
      <c r="D346" s="129">
        <f t="shared" si="14"/>
        <v>-0.00690361900652603</v>
      </c>
      <c r="E346" s="165">
        <v>24716.6</v>
      </c>
      <c r="F346" s="153">
        <f t="shared" si="15"/>
        <v>-0.00704384907309252</v>
      </c>
    </row>
    <row r="347" ht="14.25" customHeight="1" spans="2:6">
      <c r="B347" s="136">
        <v>45807</v>
      </c>
      <c r="C347" s="165">
        <v>1856.2</v>
      </c>
      <c r="D347" s="129">
        <f t="shared" si="14"/>
        <v>-0.00113134360521505</v>
      </c>
      <c r="E347" s="165">
        <v>24750.7</v>
      </c>
      <c r="F347" s="153">
        <f t="shared" si="15"/>
        <v>-0.00137773881142766</v>
      </c>
    </row>
    <row r="348" ht="14.25" customHeight="1" spans="2:6">
      <c r="B348" s="136">
        <v>45806</v>
      </c>
      <c r="C348" s="165">
        <v>1863.6</v>
      </c>
      <c r="D348" s="129">
        <f t="shared" si="14"/>
        <v>-0.0039708091865206</v>
      </c>
      <c r="E348" s="165">
        <v>24833.6</v>
      </c>
      <c r="F348" s="153">
        <f t="shared" si="15"/>
        <v>-0.00333821918690802</v>
      </c>
    </row>
    <row r="349" ht="14.25" customHeight="1" spans="2:6">
      <c r="B349" s="136">
        <v>45805</v>
      </c>
      <c r="C349" s="165">
        <v>1856.1</v>
      </c>
      <c r="D349" s="129">
        <f t="shared" si="14"/>
        <v>0.00404073056408594</v>
      </c>
      <c r="E349" s="165">
        <v>24752.45</v>
      </c>
      <c r="F349" s="153">
        <f t="shared" si="15"/>
        <v>0.00327846334403259</v>
      </c>
    </row>
    <row r="350" ht="14.25" customHeight="1" spans="2:6">
      <c r="B350" s="136">
        <v>45804</v>
      </c>
      <c r="C350" s="165">
        <v>1843.8</v>
      </c>
      <c r="D350" s="129">
        <f t="shared" si="14"/>
        <v>0.00667100553205335</v>
      </c>
      <c r="E350" s="165">
        <v>24826.2</v>
      </c>
      <c r="F350" s="153">
        <f t="shared" si="15"/>
        <v>-0.00297065197251289</v>
      </c>
    </row>
    <row r="351" ht="14.25" customHeight="1" spans="2:6">
      <c r="B351" s="136">
        <v>45803</v>
      </c>
      <c r="C351" s="165">
        <v>1847.4</v>
      </c>
      <c r="D351" s="129">
        <f t="shared" si="14"/>
        <v>-0.00194868463786946</v>
      </c>
      <c r="E351" s="165">
        <v>25001.15</v>
      </c>
      <c r="F351" s="153">
        <f t="shared" si="15"/>
        <v>-0.00699767810680707</v>
      </c>
    </row>
    <row r="352" ht="14.25" customHeight="1" spans="2:6">
      <c r="B352" s="136">
        <v>45800</v>
      </c>
      <c r="C352" s="165">
        <v>1831.7</v>
      </c>
      <c r="D352" s="129">
        <f t="shared" si="14"/>
        <v>0.00857127258830603</v>
      </c>
      <c r="E352" s="165">
        <v>24853.15</v>
      </c>
      <c r="F352" s="153">
        <f t="shared" si="15"/>
        <v>0.00595497954987589</v>
      </c>
    </row>
    <row r="353" ht="14.25" customHeight="1" spans="2:6">
      <c r="B353" s="136">
        <v>45799</v>
      </c>
      <c r="C353" s="165">
        <v>1831.4</v>
      </c>
      <c r="D353" s="129">
        <f t="shared" si="14"/>
        <v>0.000163809107786461</v>
      </c>
      <c r="E353" s="165">
        <v>24609.7</v>
      </c>
      <c r="F353" s="153">
        <f t="shared" si="15"/>
        <v>0.00989244078554385</v>
      </c>
    </row>
    <row r="354" ht="14.25" customHeight="1" spans="2:6">
      <c r="B354" s="136">
        <v>45798</v>
      </c>
      <c r="C354" s="165">
        <v>1822.5</v>
      </c>
      <c r="D354" s="129">
        <f t="shared" si="14"/>
        <v>0.0048834019204389</v>
      </c>
      <c r="E354" s="165">
        <v>24813.45</v>
      </c>
      <c r="F354" s="153">
        <f t="shared" si="15"/>
        <v>-0.00821127251551079</v>
      </c>
    </row>
    <row r="355" ht="14.25" customHeight="1" spans="2:6">
      <c r="B355" s="136">
        <v>45797</v>
      </c>
      <c r="C355" s="165">
        <v>1808.9</v>
      </c>
      <c r="D355" s="129">
        <f t="shared" si="14"/>
        <v>0.00751838133672389</v>
      </c>
      <c r="E355" s="165">
        <v>24683.9</v>
      </c>
      <c r="F355" s="153">
        <f t="shared" si="15"/>
        <v>0.00524836026721864</v>
      </c>
    </row>
    <row r="356" ht="14.25" customHeight="1" spans="2:6">
      <c r="B356" s="136">
        <v>45796</v>
      </c>
      <c r="C356" s="165">
        <v>1818.3</v>
      </c>
      <c r="D356" s="129">
        <f t="shared" si="14"/>
        <v>-0.00516966397184171</v>
      </c>
      <c r="E356" s="165">
        <v>24945.45</v>
      </c>
      <c r="F356" s="153">
        <f t="shared" si="15"/>
        <v>-0.0104848780038043</v>
      </c>
    </row>
    <row r="357" ht="14.25" customHeight="1" spans="2:6">
      <c r="B357" s="136">
        <v>45793</v>
      </c>
      <c r="C357" s="165">
        <v>1814</v>
      </c>
      <c r="D357" s="129">
        <f t="shared" si="14"/>
        <v>0.00237045203969122</v>
      </c>
      <c r="E357" s="165">
        <v>25019.8</v>
      </c>
      <c r="F357" s="153">
        <f t="shared" si="15"/>
        <v>-0.00297164645600678</v>
      </c>
    </row>
    <row r="358" ht="14.25" customHeight="1" spans="2:6">
      <c r="B358" s="136">
        <v>45792</v>
      </c>
      <c r="C358" s="165">
        <v>1867.2</v>
      </c>
      <c r="D358" s="129">
        <f t="shared" si="14"/>
        <v>-0.0284918594687232</v>
      </c>
      <c r="E358" s="165">
        <v>25062.1</v>
      </c>
      <c r="F358" s="153">
        <f t="shared" si="15"/>
        <v>-0.00168780748620423</v>
      </c>
    </row>
    <row r="359" ht="14.25" customHeight="1" spans="2:6">
      <c r="B359" s="136">
        <v>45791</v>
      </c>
      <c r="C359" s="165">
        <v>1834.2</v>
      </c>
      <c r="D359" s="129">
        <f t="shared" si="14"/>
        <v>0.0179914949296696</v>
      </c>
      <c r="E359" s="165">
        <v>24666.9</v>
      </c>
      <c r="F359" s="153">
        <f t="shared" si="15"/>
        <v>0.016021470067175</v>
      </c>
    </row>
    <row r="360" ht="14.25" customHeight="1" spans="2:6">
      <c r="B360" s="136">
        <v>45790</v>
      </c>
      <c r="C360" s="165">
        <v>1820.6</v>
      </c>
      <c r="D360" s="129">
        <f t="shared" si="14"/>
        <v>0.00747006481379775</v>
      </c>
      <c r="E360" s="165">
        <v>24578.35</v>
      </c>
      <c r="F360" s="153">
        <f t="shared" si="15"/>
        <v>0.00360276422135763</v>
      </c>
    </row>
    <row r="361" ht="14.25" customHeight="1" spans="2:6">
      <c r="B361" s="136">
        <v>45789</v>
      </c>
      <c r="C361" s="165">
        <v>1870.8</v>
      </c>
      <c r="D361" s="129">
        <f t="shared" si="14"/>
        <v>-0.0268334402394698</v>
      </c>
      <c r="E361" s="165">
        <v>24924.7</v>
      </c>
      <c r="F361" s="153">
        <f t="shared" si="15"/>
        <v>-0.0138958543131914</v>
      </c>
    </row>
    <row r="362" ht="14.25" customHeight="1" spans="2:6">
      <c r="B362" s="136">
        <v>45786</v>
      </c>
      <c r="C362" s="165">
        <v>1848.4</v>
      </c>
      <c r="D362" s="129">
        <f t="shared" si="14"/>
        <v>0.0121185890499891</v>
      </c>
      <c r="E362" s="165">
        <v>24008</v>
      </c>
      <c r="F362" s="153">
        <f t="shared" si="15"/>
        <v>0.0381831056314561</v>
      </c>
    </row>
    <row r="363" ht="14.25" customHeight="1" spans="2:6">
      <c r="B363" s="136">
        <v>45785</v>
      </c>
      <c r="C363" s="165">
        <v>1874.9</v>
      </c>
      <c r="D363" s="129">
        <f t="shared" si="14"/>
        <v>-0.0141340871513147</v>
      </c>
      <c r="E363" s="165">
        <v>24273.8</v>
      </c>
      <c r="F363" s="153">
        <f t="shared" si="15"/>
        <v>-0.0109500778617274</v>
      </c>
    </row>
    <row r="364" ht="14.25" customHeight="1" spans="2:6">
      <c r="B364" s="136">
        <v>45784</v>
      </c>
      <c r="C364" s="165">
        <v>1896.8</v>
      </c>
      <c r="D364" s="129">
        <f t="shared" si="14"/>
        <v>-0.0115457612821593</v>
      </c>
      <c r="E364" s="165">
        <v>24414.4</v>
      </c>
      <c r="F364" s="153">
        <f t="shared" si="15"/>
        <v>-0.00575889638901639</v>
      </c>
    </row>
    <row r="365" ht="14.25" customHeight="1" spans="2:6">
      <c r="B365" s="136">
        <v>45783</v>
      </c>
      <c r="C365" s="165">
        <v>1901</v>
      </c>
      <c r="D365" s="129">
        <f t="shared" si="14"/>
        <v>-0.00220936349289846</v>
      </c>
      <c r="E365" s="165">
        <v>24379.6</v>
      </c>
      <c r="F365" s="153">
        <f t="shared" si="15"/>
        <v>0.00142742292736564</v>
      </c>
    </row>
    <row r="366" ht="14.25" customHeight="1" spans="2:6">
      <c r="B366" s="136">
        <v>45782</v>
      </c>
      <c r="C366" s="165">
        <v>1866</v>
      </c>
      <c r="D366" s="129">
        <f t="shared" si="14"/>
        <v>0.0187566988210075</v>
      </c>
      <c r="E366" s="165">
        <v>24461.15</v>
      </c>
      <c r="F366" s="153">
        <f t="shared" si="15"/>
        <v>-0.00333385797478869</v>
      </c>
    </row>
    <row r="367" ht="14.25" customHeight="1" spans="2:6">
      <c r="B367" s="136">
        <v>45779</v>
      </c>
      <c r="C367" s="165">
        <v>1851.9</v>
      </c>
      <c r="D367" s="129">
        <f t="shared" si="14"/>
        <v>0.00761380204114692</v>
      </c>
      <c r="E367" s="165">
        <v>24346.7</v>
      </c>
      <c r="F367" s="153">
        <f t="shared" si="15"/>
        <v>0.00470084241396163</v>
      </c>
    </row>
    <row r="368" ht="14.25" customHeight="1" spans="2:6">
      <c r="B368" s="136">
        <v>45777</v>
      </c>
      <c r="C368" s="165">
        <v>1864.5</v>
      </c>
      <c r="D368" s="129">
        <f t="shared" si="14"/>
        <v>-0.00675784392598544</v>
      </c>
      <c r="E368" s="165">
        <v>24334.2</v>
      </c>
      <c r="F368" s="153">
        <f t="shared" si="15"/>
        <v>0.000513680334673028</v>
      </c>
    </row>
    <row r="369" ht="14.25" customHeight="1" spans="2:6">
      <c r="B369" s="136">
        <v>45776</v>
      </c>
      <c r="C369" s="165">
        <v>1823.8</v>
      </c>
      <c r="D369" s="129">
        <f t="shared" si="14"/>
        <v>0.0223160434258143</v>
      </c>
      <c r="E369" s="165">
        <v>24335.95</v>
      </c>
      <c r="F369" s="153">
        <f t="shared" si="15"/>
        <v>-7.19100754233981e-5</v>
      </c>
    </row>
    <row r="370" ht="14.25" customHeight="1" spans="2:6">
      <c r="B370" s="136">
        <v>45775</v>
      </c>
      <c r="C370" s="165">
        <v>1821.8</v>
      </c>
      <c r="D370" s="129">
        <f t="shared" si="14"/>
        <v>0.00109781534745856</v>
      </c>
      <c r="E370" s="165">
        <v>24328.5</v>
      </c>
      <c r="F370" s="153">
        <f t="shared" si="15"/>
        <v>0.000306225209116828</v>
      </c>
    </row>
    <row r="371" ht="14.25" customHeight="1" spans="2:6">
      <c r="B371" s="136">
        <v>45772</v>
      </c>
      <c r="C371" s="165">
        <v>1817.2</v>
      </c>
      <c r="D371" s="129">
        <f t="shared" si="14"/>
        <v>0.0025313669381466</v>
      </c>
      <c r="E371" s="165">
        <v>24039.35</v>
      </c>
      <c r="F371" s="153">
        <f t="shared" si="15"/>
        <v>0.0120281954378967</v>
      </c>
    </row>
    <row r="372" ht="14.25" customHeight="1" spans="2:6">
      <c r="B372" s="136">
        <v>45771</v>
      </c>
      <c r="C372" s="165">
        <v>1845.6</v>
      </c>
      <c r="D372" s="129">
        <f t="shared" si="14"/>
        <v>-0.0153879497182488</v>
      </c>
      <c r="E372" s="165">
        <v>24246.7</v>
      </c>
      <c r="F372" s="153">
        <f t="shared" si="15"/>
        <v>-0.0085516791975816</v>
      </c>
    </row>
    <row r="373" ht="14.25" customHeight="1" spans="2:6">
      <c r="B373" s="136">
        <v>45770</v>
      </c>
      <c r="C373" s="165">
        <v>1881.6</v>
      </c>
      <c r="D373" s="129">
        <f t="shared" si="14"/>
        <v>-0.0191326530612245</v>
      </c>
      <c r="E373" s="165">
        <v>24328.95</v>
      </c>
      <c r="F373" s="153">
        <f t="shared" si="15"/>
        <v>-0.00338074598369431</v>
      </c>
    </row>
    <row r="374" ht="14.25" customHeight="1" spans="2:6">
      <c r="B374" s="136">
        <v>45769</v>
      </c>
      <c r="C374" s="165">
        <v>1852.2</v>
      </c>
      <c r="D374" s="129">
        <f t="shared" si="14"/>
        <v>0.0158730158730158</v>
      </c>
      <c r="E374" s="165">
        <v>24167.25</v>
      </c>
      <c r="F374" s="153">
        <f t="shared" si="15"/>
        <v>0.00669087297892812</v>
      </c>
    </row>
    <row r="375" ht="14.25" customHeight="1" spans="2:6">
      <c r="B375" s="136">
        <v>45768</v>
      </c>
      <c r="C375" s="165">
        <v>1883.4</v>
      </c>
      <c r="D375" s="129">
        <f t="shared" si="14"/>
        <v>-0.016565785281937</v>
      </c>
      <c r="E375" s="165">
        <v>24125.55</v>
      </c>
      <c r="F375" s="153">
        <f t="shared" si="15"/>
        <v>0.00172845800406618</v>
      </c>
    </row>
    <row r="376" ht="14.25" customHeight="1" spans="2:6">
      <c r="B376" s="136">
        <v>45764</v>
      </c>
      <c r="C376" s="165">
        <v>1889.1</v>
      </c>
      <c r="D376" s="129">
        <f t="shared" si="14"/>
        <v>-0.00301730983007775</v>
      </c>
      <c r="E376" s="165">
        <v>23851.65</v>
      </c>
      <c r="F376" s="153">
        <f t="shared" si="15"/>
        <v>0.0114834822748111</v>
      </c>
    </row>
    <row r="377" ht="14.25" customHeight="1" spans="2:6">
      <c r="B377" s="136">
        <v>45763</v>
      </c>
      <c r="C377" s="165">
        <v>1822.6</v>
      </c>
      <c r="D377" s="129">
        <f t="shared" si="14"/>
        <v>0.0364863381981784</v>
      </c>
      <c r="E377" s="165">
        <v>23437.2</v>
      </c>
      <c r="F377" s="153">
        <f t="shared" si="15"/>
        <v>0.0176834263478574</v>
      </c>
    </row>
    <row r="378" ht="14.25" customHeight="1" spans="2:6">
      <c r="B378" s="136">
        <v>45762</v>
      </c>
      <c r="C378" s="165">
        <v>1798.8</v>
      </c>
      <c r="D378" s="129">
        <f t="shared" si="14"/>
        <v>0.0132310429175004</v>
      </c>
      <c r="E378" s="165">
        <v>23328.55</v>
      </c>
      <c r="F378" s="153">
        <f t="shared" si="15"/>
        <v>0.00465738333501231</v>
      </c>
    </row>
    <row r="379" ht="14.25" customHeight="1" spans="2:6">
      <c r="B379" s="136">
        <v>45758</v>
      </c>
      <c r="C379" s="165">
        <v>1756.6</v>
      </c>
      <c r="D379" s="129">
        <f t="shared" si="14"/>
        <v>0.0240236821131732</v>
      </c>
      <c r="E379" s="165">
        <v>22828.55</v>
      </c>
      <c r="F379" s="153">
        <f t="shared" si="15"/>
        <v>0.0219023985316633</v>
      </c>
    </row>
    <row r="380" ht="14.25" customHeight="1" spans="2:6">
      <c r="B380" s="136">
        <v>45756</v>
      </c>
      <c r="C380" s="165">
        <v>1715.55</v>
      </c>
      <c r="D380" s="129">
        <f t="shared" si="14"/>
        <v>0.02392818629594</v>
      </c>
      <c r="E380" s="165">
        <v>22399.15</v>
      </c>
      <c r="F380" s="153">
        <f t="shared" si="15"/>
        <v>0.0191703703042303</v>
      </c>
    </row>
    <row r="381" ht="14.25" customHeight="1" spans="2:6">
      <c r="B381" s="136">
        <v>45755</v>
      </c>
      <c r="C381" s="165">
        <v>1720.4</v>
      </c>
      <c r="D381" s="129">
        <f t="shared" si="14"/>
        <v>-0.00281911183445716</v>
      </c>
      <c r="E381" s="165">
        <v>22535.85</v>
      </c>
      <c r="F381" s="153">
        <f t="shared" si="15"/>
        <v>-0.00606589056991402</v>
      </c>
    </row>
    <row r="382" ht="14.25" customHeight="1" spans="2:6">
      <c r="B382" s="136">
        <v>45754</v>
      </c>
      <c r="C382" s="165">
        <v>1686.65</v>
      </c>
      <c r="D382" s="129">
        <f t="shared" si="14"/>
        <v>0.0200100791509799</v>
      </c>
      <c r="E382" s="165">
        <v>22161.6</v>
      </c>
      <c r="F382" s="153">
        <f t="shared" si="15"/>
        <v>0.0168873186051548</v>
      </c>
    </row>
    <row r="383" ht="14.25" customHeight="1" spans="2:6">
      <c r="B383" s="136">
        <v>45751</v>
      </c>
      <c r="C383" s="165">
        <v>1743.45</v>
      </c>
      <c r="D383" s="129">
        <f t="shared" si="14"/>
        <v>-0.0325790817058131</v>
      </c>
      <c r="E383" s="165">
        <v>22904.45</v>
      </c>
      <c r="F383" s="153">
        <f t="shared" si="15"/>
        <v>-0.0324325622313569</v>
      </c>
    </row>
    <row r="384" ht="14.25" customHeight="1" spans="2:6">
      <c r="B384" s="136">
        <v>45750</v>
      </c>
      <c r="C384" s="165">
        <v>1746</v>
      </c>
      <c r="D384" s="129">
        <f t="shared" si="14"/>
        <v>-0.00146048109965635</v>
      </c>
      <c r="E384" s="165">
        <v>23250.1</v>
      </c>
      <c r="F384" s="153">
        <f t="shared" si="15"/>
        <v>-0.0148666027242893</v>
      </c>
    </row>
    <row r="385" ht="14.25" customHeight="1" spans="2:6">
      <c r="B385" s="136">
        <v>45749</v>
      </c>
      <c r="C385" s="165">
        <v>1754.6</v>
      </c>
      <c r="D385" s="129">
        <f t="shared" si="14"/>
        <v>-0.0049014020289524</v>
      </c>
      <c r="E385" s="165">
        <v>23332.35</v>
      </c>
      <c r="F385" s="153">
        <f t="shared" si="15"/>
        <v>-0.00352514855983221</v>
      </c>
    </row>
    <row r="386" ht="14.25" customHeight="1" spans="2:6">
      <c r="B386" s="136">
        <v>45748</v>
      </c>
      <c r="C386" s="165">
        <v>1724.15</v>
      </c>
      <c r="D386" s="129">
        <f t="shared" si="14"/>
        <v>0.0176608763738653</v>
      </c>
      <c r="E386" s="165">
        <v>23165.7</v>
      </c>
      <c r="F386" s="153">
        <f t="shared" si="15"/>
        <v>0.00719382535386348</v>
      </c>
    </row>
    <row r="387" ht="14.25" customHeight="1" spans="2:6">
      <c r="B387" s="136">
        <v>45744</v>
      </c>
      <c r="C387" s="165">
        <v>1733.4</v>
      </c>
      <c r="D387" s="129">
        <f t="shared" si="14"/>
        <v>-0.00533633321795313</v>
      </c>
      <c r="E387" s="165">
        <v>23519.35</v>
      </c>
      <c r="F387" s="153">
        <f t="shared" si="15"/>
        <v>-0.0150365550068347</v>
      </c>
    </row>
    <row r="388" ht="14.25" customHeight="1" spans="2:6">
      <c r="B388" s="136">
        <v>45743</v>
      </c>
      <c r="C388" s="165">
        <v>1724.7</v>
      </c>
      <c r="D388" s="129">
        <f t="shared" si="14"/>
        <v>0.00504435554009386</v>
      </c>
      <c r="E388" s="165">
        <v>23591.95</v>
      </c>
      <c r="F388" s="153">
        <f t="shared" si="15"/>
        <v>-0.00307732086580392</v>
      </c>
    </row>
    <row r="389" ht="14.25" customHeight="1" spans="2:6">
      <c r="B389" s="136">
        <v>45742</v>
      </c>
      <c r="C389" s="165">
        <v>1738.55</v>
      </c>
      <c r="D389" s="129">
        <f t="shared" si="14"/>
        <v>-0.00796640878893329</v>
      </c>
      <c r="E389" s="165">
        <v>23486.85</v>
      </c>
      <c r="F389" s="153">
        <f t="shared" si="15"/>
        <v>0.00447484443422597</v>
      </c>
    </row>
    <row r="390" ht="14.25" customHeight="1" spans="2:6">
      <c r="B390" s="136">
        <v>45741</v>
      </c>
      <c r="C390" s="165">
        <v>1730.5</v>
      </c>
      <c r="D390" s="129">
        <f t="shared" si="14"/>
        <v>0.00465183472984676</v>
      </c>
      <c r="E390" s="165">
        <v>23668.65</v>
      </c>
      <c r="F390" s="153">
        <f t="shared" si="15"/>
        <v>-0.0076810464475161</v>
      </c>
    </row>
    <row r="391" ht="14.25" customHeight="1" spans="2:6">
      <c r="B391" s="136">
        <v>45740</v>
      </c>
      <c r="C391" s="165">
        <v>1718.8</v>
      </c>
      <c r="D391" s="129">
        <f t="shared" si="14"/>
        <v>0.00680707470328135</v>
      </c>
      <c r="E391" s="165">
        <v>23658.35</v>
      </c>
      <c r="F391" s="153">
        <f t="shared" si="15"/>
        <v>0.000435364258285276</v>
      </c>
    </row>
    <row r="392" ht="14.25" customHeight="1" spans="2:6">
      <c r="B392" s="136">
        <v>45737</v>
      </c>
      <c r="C392" s="165">
        <v>1725.8</v>
      </c>
      <c r="D392" s="129">
        <f t="shared" si="14"/>
        <v>-0.00405608992930817</v>
      </c>
      <c r="E392" s="165">
        <v>23350.4</v>
      </c>
      <c r="F392" s="153">
        <f t="shared" si="15"/>
        <v>0.0131882109085923</v>
      </c>
    </row>
    <row r="393" ht="14.25" customHeight="1" spans="2:6">
      <c r="B393" s="136">
        <v>45736</v>
      </c>
      <c r="C393" s="165">
        <v>1705.25</v>
      </c>
      <c r="D393" s="129">
        <f t="shared" si="14"/>
        <v>0.012051018912183</v>
      </c>
      <c r="E393" s="165">
        <v>23190.65</v>
      </c>
      <c r="F393" s="153">
        <f t="shared" si="15"/>
        <v>0.00688855206732031</v>
      </c>
    </row>
    <row r="394" ht="14.25" customHeight="1" spans="2:6">
      <c r="B394" s="136">
        <v>45735</v>
      </c>
      <c r="C394" s="165">
        <v>1637.15</v>
      </c>
      <c r="D394" s="129">
        <f t="shared" si="14"/>
        <v>0.0415966771523684</v>
      </c>
      <c r="E394" s="165">
        <v>22907.6</v>
      </c>
      <c r="F394" s="153">
        <f t="shared" si="15"/>
        <v>0.0123561612739878</v>
      </c>
    </row>
    <row r="395" ht="14.25" customHeight="1" spans="2:6">
      <c r="B395" s="136">
        <v>45734</v>
      </c>
      <c r="C395" s="165">
        <v>1627.3</v>
      </c>
      <c r="D395" s="129">
        <f t="shared" si="14"/>
        <v>0.00605297117925407</v>
      </c>
      <c r="E395" s="165">
        <v>22834.3</v>
      </c>
      <c r="F395" s="153">
        <f t="shared" si="15"/>
        <v>0.00321008307677473</v>
      </c>
    </row>
    <row r="396" ht="14.25" customHeight="1" spans="2:6">
      <c r="B396" s="136">
        <v>45733</v>
      </c>
      <c r="C396" s="165">
        <v>1639.15</v>
      </c>
      <c r="D396" s="129">
        <f t="shared" si="14"/>
        <v>-0.00722935667876656</v>
      </c>
      <c r="E396" s="165">
        <v>22508.75</v>
      </c>
      <c r="F396" s="153">
        <f t="shared" si="15"/>
        <v>0.0144632642861109</v>
      </c>
    </row>
    <row r="397" ht="14.25" customHeight="1" spans="2:6">
      <c r="B397" s="136">
        <v>45729</v>
      </c>
      <c r="C397" s="165">
        <v>1632.5</v>
      </c>
      <c r="D397" s="129">
        <f t="shared" si="14"/>
        <v>0.00407350689127117</v>
      </c>
      <c r="E397" s="165">
        <v>22397.2</v>
      </c>
      <c r="F397" s="153">
        <f t="shared" si="15"/>
        <v>0.00498053328094583</v>
      </c>
    </row>
    <row r="398" ht="14.25" customHeight="1" spans="2:6">
      <c r="B398" s="136">
        <v>45728</v>
      </c>
      <c r="C398" s="165">
        <v>1642.85</v>
      </c>
      <c r="D398" s="129">
        <f t="shared" si="14"/>
        <v>-0.00630002739142344</v>
      </c>
      <c r="E398" s="165">
        <v>22470.5</v>
      </c>
      <c r="F398" s="153">
        <f t="shared" si="15"/>
        <v>-0.00326205469393204</v>
      </c>
    </row>
    <row r="399" ht="14.25" customHeight="1" spans="2:6">
      <c r="B399" s="136">
        <v>45727</v>
      </c>
      <c r="C399" s="165">
        <v>1662.95</v>
      </c>
      <c r="D399" s="129">
        <f t="shared" si="14"/>
        <v>-0.0120869539072131</v>
      </c>
      <c r="E399" s="165">
        <v>22497.9</v>
      </c>
      <c r="F399" s="153">
        <f t="shared" si="15"/>
        <v>-0.00121789144764628</v>
      </c>
    </row>
    <row r="400" ht="14.25" customHeight="1" spans="2:6">
      <c r="B400" s="136">
        <v>45726</v>
      </c>
      <c r="C400" s="165">
        <v>1630.95</v>
      </c>
      <c r="D400" s="129">
        <f t="shared" si="14"/>
        <v>0.0196204665992212</v>
      </c>
      <c r="E400" s="165">
        <v>22460.3</v>
      </c>
      <c r="F400" s="153">
        <f t="shared" si="15"/>
        <v>0.00167406490563349</v>
      </c>
    </row>
    <row r="401" ht="14.25" customHeight="1" spans="2:6">
      <c r="B401" s="136">
        <v>45723</v>
      </c>
      <c r="C401" s="165">
        <v>1630.7</v>
      </c>
      <c r="D401" s="129">
        <f t="shared" si="14"/>
        <v>0.000153308395167695</v>
      </c>
      <c r="E401" s="165">
        <v>22552.5</v>
      </c>
      <c r="F401" s="153">
        <f t="shared" si="15"/>
        <v>-0.00408823855448404</v>
      </c>
    </row>
    <row r="402" ht="14.25" customHeight="1" spans="2:6">
      <c r="B402" s="136">
        <v>45722</v>
      </c>
      <c r="C402" s="165">
        <v>1626.9</v>
      </c>
      <c r="D402" s="129">
        <f t="shared" si="14"/>
        <v>0.00233573053045677</v>
      </c>
      <c r="E402" s="165">
        <v>22544.7</v>
      </c>
      <c r="F402" s="153">
        <f t="shared" si="15"/>
        <v>0.000345979321082046</v>
      </c>
    </row>
    <row r="403" ht="14.25" customHeight="1" spans="2:6">
      <c r="B403" s="136">
        <v>45721</v>
      </c>
      <c r="C403" s="165">
        <v>1618.25</v>
      </c>
      <c r="D403" s="129">
        <f t="shared" si="14"/>
        <v>0.00534528039548898</v>
      </c>
      <c r="E403" s="165">
        <v>22337.3</v>
      </c>
      <c r="F403" s="153">
        <f t="shared" si="15"/>
        <v>0.00928491805186837</v>
      </c>
    </row>
    <row r="404" ht="14.25" customHeight="1" spans="2:6">
      <c r="B404" s="136">
        <v>45720</v>
      </c>
      <c r="C404" s="165">
        <v>1575.35</v>
      </c>
      <c r="D404" s="129">
        <f t="shared" si="14"/>
        <v>0.0272320436728346</v>
      </c>
      <c r="E404" s="165">
        <v>22082.65</v>
      </c>
      <c r="F404" s="153">
        <f t="shared" si="15"/>
        <v>0.0115316775839855</v>
      </c>
    </row>
    <row r="405" ht="14.25" customHeight="1" spans="2:6">
      <c r="B405" s="136">
        <v>45719</v>
      </c>
      <c r="C405" s="165">
        <v>1595.8</v>
      </c>
      <c r="D405" s="129">
        <f t="shared" si="14"/>
        <v>-0.0128148890838451</v>
      </c>
      <c r="E405" s="165">
        <v>22119.3</v>
      </c>
      <c r="F405" s="153">
        <f t="shared" si="15"/>
        <v>-0.00165692404370832</v>
      </c>
    </row>
    <row r="406" ht="14.25" customHeight="1" spans="2:6">
      <c r="B406" s="136">
        <v>45716</v>
      </c>
      <c r="C406" s="165">
        <v>1570.2</v>
      </c>
      <c r="D406" s="129">
        <f t="shared" si="14"/>
        <v>0.0163036555852758</v>
      </c>
      <c r="E406" s="165">
        <v>22124.7</v>
      </c>
      <c r="F406" s="153">
        <f t="shared" si="15"/>
        <v>-0.00024407110604896</v>
      </c>
    </row>
    <row r="407" ht="14.25" customHeight="1" spans="2:6">
      <c r="B407" s="136">
        <v>45715</v>
      </c>
      <c r="C407" s="165">
        <v>1650.4</v>
      </c>
      <c r="D407" s="129">
        <f t="shared" si="14"/>
        <v>-0.0485942801745032</v>
      </c>
      <c r="E407" s="165">
        <v>22545.05</v>
      </c>
      <c r="F407" s="153">
        <f t="shared" si="15"/>
        <v>-0.0186448910071167</v>
      </c>
    </row>
    <row r="408" ht="14.25" customHeight="1" spans="2:6">
      <c r="B408" s="136">
        <v>45713</v>
      </c>
      <c r="C408" s="165">
        <v>1641.4</v>
      </c>
      <c r="D408" s="129">
        <f t="shared" ref="D408:D448" si="16">C407/C408-1</f>
        <v>0.00548312416230057</v>
      </c>
      <c r="E408" s="165">
        <v>22547.55</v>
      </c>
      <c r="F408" s="153">
        <f t="shared" ref="F408:F448" si="17">E407/E408-1</f>
        <v>-0.000110876791491799</v>
      </c>
    </row>
    <row r="409" ht="14.25" customHeight="1" spans="2:6">
      <c r="B409" s="136">
        <v>45712</v>
      </c>
      <c r="C409" s="165">
        <v>1601.3</v>
      </c>
      <c r="D409" s="129">
        <f t="shared" si="16"/>
        <v>0.0250421532504841</v>
      </c>
      <c r="E409" s="165">
        <v>22553.35</v>
      </c>
      <c r="F409" s="153">
        <f t="shared" si="17"/>
        <v>-0.000257168003866326</v>
      </c>
    </row>
    <row r="410" ht="14.25" customHeight="1" spans="2:6">
      <c r="B410" s="136">
        <v>45709</v>
      </c>
      <c r="C410" s="165">
        <v>1639.25</v>
      </c>
      <c r="D410" s="129">
        <f t="shared" si="16"/>
        <v>-0.0231508311727925</v>
      </c>
      <c r="E410" s="165">
        <v>22795.9</v>
      </c>
      <c r="F410" s="153">
        <f t="shared" si="17"/>
        <v>-0.0106400712408812</v>
      </c>
    </row>
    <row r="411" ht="14.25" customHeight="1" spans="2:6">
      <c r="B411" s="136">
        <v>45708</v>
      </c>
      <c r="C411" s="165">
        <v>1643.5</v>
      </c>
      <c r="D411" s="129">
        <f t="shared" si="16"/>
        <v>-0.00258594463036199</v>
      </c>
      <c r="E411" s="165">
        <v>22913.15</v>
      </c>
      <c r="F411" s="153">
        <f t="shared" si="17"/>
        <v>-0.00511714888612003</v>
      </c>
    </row>
    <row r="412" ht="14.25" customHeight="1" spans="2:6">
      <c r="B412" s="136">
        <v>45707</v>
      </c>
      <c r="C412" s="165">
        <v>1645.2</v>
      </c>
      <c r="D412" s="129">
        <f t="shared" si="16"/>
        <v>-0.00103330902017995</v>
      </c>
      <c r="E412" s="165">
        <v>22932.9</v>
      </c>
      <c r="F412" s="153">
        <f t="shared" si="17"/>
        <v>-0.000861208133293268</v>
      </c>
    </row>
    <row r="413" ht="14.25" customHeight="1" spans="2:6">
      <c r="B413" s="136">
        <v>45706</v>
      </c>
      <c r="C413" s="165">
        <v>1668.9</v>
      </c>
      <c r="D413" s="129">
        <f t="shared" si="16"/>
        <v>-0.014200970699263</v>
      </c>
      <c r="E413" s="165">
        <v>22945.3</v>
      </c>
      <c r="F413" s="153">
        <f t="shared" si="17"/>
        <v>-0.000540415684257667</v>
      </c>
    </row>
    <row r="414" ht="14.25" customHeight="1" spans="2:6">
      <c r="B414" s="136">
        <v>45705</v>
      </c>
      <c r="C414" s="165">
        <v>1675.55</v>
      </c>
      <c r="D414" s="129">
        <f t="shared" si="16"/>
        <v>-0.00396884605055048</v>
      </c>
      <c r="E414" s="165">
        <v>22959.5</v>
      </c>
      <c r="F414" s="153">
        <f t="shared" si="17"/>
        <v>-0.000618480367603813</v>
      </c>
    </row>
    <row r="415" ht="14.25" customHeight="1" spans="2:6">
      <c r="B415" s="136">
        <v>45702</v>
      </c>
      <c r="C415" s="165">
        <v>1717.05</v>
      </c>
      <c r="D415" s="129">
        <f t="shared" si="16"/>
        <v>-0.0241693602399464</v>
      </c>
      <c r="E415" s="165">
        <v>22929.25</v>
      </c>
      <c r="F415" s="153">
        <f t="shared" si="17"/>
        <v>0.00131927559776268</v>
      </c>
    </row>
    <row r="416" ht="14.25" customHeight="1" spans="2:6">
      <c r="B416" s="136">
        <v>45701</v>
      </c>
      <c r="C416" s="165">
        <v>1714.6</v>
      </c>
      <c r="D416" s="129">
        <f t="shared" si="16"/>
        <v>0.00142890470080492</v>
      </c>
      <c r="E416" s="165">
        <v>23031.4</v>
      </c>
      <c r="F416" s="153">
        <f t="shared" si="17"/>
        <v>-0.00443524926839023</v>
      </c>
    </row>
    <row r="417" ht="14.25" customHeight="1" spans="2:6">
      <c r="B417" s="136">
        <v>45700</v>
      </c>
      <c r="C417" s="165">
        <v>1711.55</v>
      </c>
      <c r="D417" s="129">
        <f t="shared" si="16"/>
        <v>0.00178201045835635</v>
      </c>
      <c r="E417" s="165">
        <v>23045.25</v>
      </c>
      <c r="F417" s="153">
        <f t="shared" si="17"/>
        <v>-0.000600991527538119</v>
      </c>
    </row>
    <row r="418" ht="14.25" customHeight="1" spans="2:6">
      <c r="B418" s="136">
        <v>45699</v>
      </c>
      <c r="C418" s="165">
        <v>1696.75</v>
      </c>
      <c r="D418" s="129">
        <f t="shared" si="16"/>
        <v>0.00872255783114784</v>
      </c>
      <c r="E418" s="165">
        <v>23071.8</v>
      </c>
      <c r="F418" s="153">
        <f t="shared" si="17"/>
        <v>-0.00115075546771382</v>
      </c>
    </row>
    <row r="419" ht="14.25" customHeight="1" spans="2:6">
      <c r="B419" s="136">
        <v>45698</v>
      </c>
      <c r="C419" s="165">
        <v>1693.05</v>
      </c>
      <c r="D419" s="129">
        <f t="shared" si="16"/>
        <v>0.0021854050382446</v>
      </c>
      <c r="E419" s="165">
        <v>23381.6</v>
      </c>
      <c r="F419" s="153">
        <f t="shared" si="17"/>
        <v>-0.0132497348342286</v>
      </c>
    </row>
    <row r="420" ht="14.25" customHeight="1" spans="2:6">
      <c r="B420" s="136">
        <v>45695</v>
      </c>
      <c r="C420" s="165">
        <v>1676.75</v>
      </c>
      <c r="D420" s="129">
        <f t="shared" si="16"/>
        <v>0.00972118681974043</v>
      </c>
      <c r="E420" s="165">
        <v>23559.95</v>
      </c>
      <c r="F420" s="153">
        <f t="shared" si="17"/>
        <v>-0.00757005002132871</v>
      </c>
    </row>
    <row r="421" ht="14.25" customHeight="1" spans="2:6">
      <c r="B421" s="136">
        <v>45694</v>
      </c>
      <c r="C421" s="165">
        <v>1619.75</v>
      </c>
      <c r="D421" s="129">
        <f t="shared" si="16"/>
        <v>0.0351906158357771</v>
      </c>
      <c r="E421" s="165">
        <v>23603.35</v>
      </c>
      <c r="F421" s="153">
        <f t="shared" si="17"/>
        <v>-0.00183872204581115</v>
      </c>
    </row>
    <row r="422" ht="14.25" customHeight="1" spans="2:6">
      <c r="B422" s="136">
        <v>45693</v>
      </c>
      <c r="C422" s="165">
        <v>1660.45</v>
      </c>
      <c r="D422" s="129">
        <f t="shared" si="16"/>
        <v>-0.0245114276250414</v>
      </c>
      <c r="E422" s="165">
        <v>23696.3</v>
      </c>
      <c r="F422" s="153">
        <f t="shared" si="17"/>
        <v>-0.00392255331001046</v>
      </c>
    </row>
    <row r="423" ht="14.25" customHeight="1" spans="2:6">
      <c r="B423" s="136">
        <v>45692</v>
      </c>
      <c r="C423" s="165">
        <v>1661.45</v>
      </c>
      <c r="D423" s="129">
        <f t="shared" si="16"/>
        <v>-0.000601883896596322</v>
      </c>
      <c r="E423" s="165">
        <v>23739.25</v>
      </c>
      <c r="F423" s="153">
        <f t="shared" si="17"/>
        <v>-0.00180923997177673</v>
      </c>
    </row>
    <row r="424" ht="14.25" customHeight="1" spans="2:6">
      <c r="B424" s="136">
        <v>45691</v>
      </c>
      <c r="C424" s="165">
        <v>1652.35</v>
      </c>
      <c r="D424" s="129">
        <f t="shared" si="16"/>
        <v>0.00550730777377684</v>
      </c>
      <c r="E424" s="165">
        <v>23361.05</v>
      </c>
      <c r="F424" s="153">
        <f t="shared" si="17"/>
        <v>0.0161893408044587</v>
      </c>
    </row>
    <row r="425" ht="14.25" customHeight="1" spans="2:6">
      <c r="B425" s="136">
        <v>45689</v>
      </c>
      <c r="C425" s="165">
        <v>1623.25</v>
      </c>
      <c r="D425" s="129">
        <f t="shared" si="16"/>
        <v>0.0179269983058679</v>
      </c>
      <c r="E425" s="165">
        <v>23482.15</v>
      </c>
      <c r="F425" s="153">
        <f t="shared" si="17"/>
        <v>-0.00515710869745756</v>
      </c>
    </row>
    <row r="426" ht="14.25" customHeight="1" spans="2:6">
      <c r="B426" s="136">
        <v>45688</v>
      </c>
      <c r="C426" s="165">
        <v>1626.3</v>
      </c>
      <c r="D426" s="129">
        <f t="shared" si="16"/>
        <v>-0.00187542273873209</v>
      </c>
      <c r="E426" s="165">
        <v>23508.4</v>
      </c>
      <c r="F426" s="153">
        <f t="shared" si="17"/>
        <v>-0.00111662214357422</v>
      </c>
    </row>
    <row r="427" ht="14.25" customHeight="1" spans="2:6">
      <c r="B427" s="136">
        <v>45687</v>
      </c>
      <c r="C427" s="165">
        <v>1640.75</v>
      </c>
      <c r="D427" s="129">
        <f t="shared" si="16"/>
        <v>-0.00880694804205395</v>
      </c>
      <c r="E427" s="165">
        <v>23249.5</v>
      </c>
      <c r="F427" s="153">
        <f t="shared" si="17"/>
        <v>0.0111357233488893</v>
      </c>
    </row>
    <row r="428" ht="14.25" customHeight="1" spans="2:6">
      <c r="B428" s="136">
        <v>45686</v>
      </c>
      <c r="C428" s="165">
        <v>1600.45</v>
      </c>
      <c r="D428" s="129">
        <f t="shared" si="16"/>
        <v>0.0251804180074353</v>
      </c>
      <c r="E428" s="165">
        <v>23163.1</v>
      </c>
      <c r="F428" s="153">
        <f t="shared" si="17"/>
        <v>0.00373007067275122</v>
      </c>
    </row>
    <row r="429" ht="14.25" customHeight="1" spans="2:6">
      <c r="B429" s="136">
        <v>45685</v>
      </c>
      <c r="C429" s="165">
        <v>1618.35</v>
      </c>
      <c r="D429" s="129">
        <f t="shared" si="16"/>
        <v>-0.0110606481910587</v>
      </c>
      <c r="E429" s="165">
        <v>22957.25</v>
      </c>
      <c r="F429" s="153">
        <f t="shared" si="17"/>
        <v>0.00896666630367315</v>
      </c>
    </row>
    <row r="430" ht="14.25" customHeight="1" spans="2:6">
      <c r="B430" s="136">
        <v>45684</v>
      </c>
      <c r="C430" s="165">
        <v>1602.6</v>
      </c>
      <c r="D430" s="129">
        <f t="shared" si="16"/>
        <v>0.00982777985773109</v>
      </c>
      <c r="E430" s="165">
        <v>22829.15</v>
      </c>
      <c r="F430" s="153">
        <f t="shared" si="17"/>
        <v>0.00561124702408966</v>
      </c>
    </row>
    <row r="431" ht="14.25" customHeight="1" spans="2:6">
      <c r="B431" s="136">
        <v>45681</v>
      </c>
      <c r="C431" s="165">
        <v>1644.8</v>
      </c>
      <c r="D431" s="129">
        <f t="shared" si="16"/>
        <v>-0.0256566147859922</v>
      </c>
      <c r="E431" s="165">
        <v>23092.2</v>
      </c>
      <c r="F431" s="153">
        <f t="shared" si="17"/>
        <v>-0.0113912922978321</v>
      </c>
    </row>
    <row r="432" ht="14.25" customHeight="1" spans="2:6">
      <c r="B432" s="136">
        <v>45680</v>
      </c>
      <c r="C432" s="165">
        <v>1636</v>
      </c>
      <c r="D432" s="129">
        <f t="shared" si="16"/>
        <v>0.00537897310513435</v>
      </c>
      <c r="E432" s="165">
        <v>23205.35</v>
      </c>
      <c r="F432" s="153">
        <f t="shared" si="17"/>
        <v>-0.00487603074291043</v>
      </c>
    </row>
    <row r="433" ht="14.25" customHeight="1" spans="2:6">
      <c r="B433" s="136">
        <v>45679</v>
      </c>
      <c r="C433" s="165">
        <v>1631.75</v>
      </c>
      <c r="D433" s="129">
        <f t="shared" si="16"/>
        <v>0.00260456565037526</v>
      </c>
      <c r="E433" s="165">
        <v>23155.35</v>
      </c>
      <c r="F433" s="153">
        <f t="shared" si="17"/>
        <v>0.00215932818981357</v>
      </c>
    </row>
    <row r="434" ht="14.25" customHeight="1" spans="2:6">
      <c r="B434" s="136">
        <v>45678</v>
      </c>
      <c r="C434" s="165">
        <v>1626.15</v>
      </c>
      <c r="D434" s="129">
        <f t="shared" si="16"/>
        <v>0.00344371675429689</v>
      </c>
      <c r="E434" s="165">
        <v>23024.65</v>
      </c>
      <c r="F434" s="153">
        <f t="shared" si="17"/>
        <v>0.0056765249417472</v>
      </c>
    </row>
    <row r="435" ht="14.25" customHeight="1" spans="2:6">
      <c r="B435" s="136">
        <v>45677</v>
      </c>
      <c r="C435" s="165">
        <v>1641.15</v>
      </c>
      <c r="D435" s="129">
        <f t="shared" si="16"/>
        <v>-0.0091399323645005</v>
      </c>
      <c r="E435" s="165">
        <v>23344.75</v>
      </c>
      <c r="F435" s="153">
        <f t="shared" si="17"/>
        <v>-0.0137118624101779</v>
      </c>
    </row>
    <row r="436" ht="14.25" customHeight="1" spans="2:6">
      <c r="B436" s="136">
        <v>45674</v>
      </c>
      <c r="C436" s="165">
        <v>1627.5</v>
      </c>
      <c r="D436" s="129">
        <f t="shared" si="16"/>
        <v>0.00838709677419369</v>
      </c>
      <c r="E436" s="165">
        <v>23203.2</v>
      </c>
      <c r="F436" s="153">
        <f t="shared" si="17"/>
        <v>0.0061004516618397</v>
      </c>
    </row>
    <row r="437" ht="14.25" customHeight="1" spans="2:6">
      <c r="B437" s="136">
        <v>45673</v>
      </c>
      <c r="C437" s="165">
        <v>1630.2</v>
      </c>
      <c r="D437" s="129">
        <f t="shared" si="16"/>
        <v>-0.00165623849834384</v>
      </c>
      <c r="E437" s="165">
        <v>23311.8</v>
      </c>
      <c r="F437" s="153">
        <f t="shared" si="17"/>
        <v>-0.00465858492265714</v>
      </c>
    </row>
    <row r="438" ht="14.25" customHeight="1" spans="2:6">
      <c r="B438" s="136">
        <v>45672</v>
      </c>
      <c r="C438" s="165">
        <v>1607.45</v>
      </c>
      <c r="D438" s="129">
        <f t="shared" si="16"/>
        <v>0.014152850788516</v>
      </c>
      <c r="E438" s="165">
        <v>23213.2</v>
      </c>
      <c r="F438" s="153">
        <f t="shared" si="17"/>
        <v>0.0042475832715867</v>
      </c>
    </row>
    <row r="439" ht="14.25" customHeight="1" spans="2:6">
      <c r="B439" s="136">
        <v>45671</v>
      </c>
      <c r="C439" s="165">
        <v>1600.1</v>
      </c>
      <c r="D439" s="129">
        <f t="shared" si="16"/>
        <v>0.00459346290856821</v>
      </c>
      <c r="E439" s="165">
        <v>23176.05</v>
      </c>
      <c r="F439" s="153">
        <f t="shared" si="17"/>
        <v>0.00160294787075466</v>
      </c>
    </row>
    <row r="440" ht="14.25" customHeight="1" spans="2:6">
      <c r="B440" s="136">
        <v>45670</v>
      </c>
      <c r="C440" s="165">
        <v>1597.2</v>
      </c>
      <c r="D440" s="129">
        <f t="shared" si="16"/>
        <v>0.00181567743551203</v>
      </c>
      <c r="E440" s="165">
        <v>23085.95</v>
      </c>
      <c r="F440" s="153">
        <f t="shared" si="17"/>
        <v>0.0039028066854514</v>
      </c>
    </row>
    <row r="441" ht="14.25" customHeight="1" spans="2:6">
      <c r="B441" s="136">
        <v>45667</v>
      </c>
      <c r="C441" s="165">
        <v>1615.9</v>
      </c>
      <c r="D441" s="129">
        <f t="shared" si="16"/>
        <v>-0.0115724982981621</v>
      </c>
      <c r="E441" s="165">
        <v>23431.5</v>
      </c>
      <c r="F441" s="153">
        <f t="shared" si="17"/>
        <v>-0.0147472419606085</v>
      </c>
    </row>
    <row r="442" ht="14.25" customHeight="1" spans="2:6">
      <c r="B442" s="136">
        <v>45666</v>
      </c>
      <c r="C442" s="165">
        <v>1607.05</v>
      </c>
      <c r="D442" s="129">
        <f t="shared" si="16"/>
        <v>0.0055069848480136</v>
      </c>
      <c r="E442" s="165">
        <v>23526.5</v>
      </c>
      <c r="F442" s="153">
        <f t="shared" si="17"/>
        <v>-0.00403799970246321</v>
      </c>
    </row>
    <row r="443" ht="14.25" customHeight="1" spans="2:6">
      <c r="B443" s="136">
        <v>45665</v>
      </c>
      <c r="C443" s="165">
        <v>1599.2</v>
      </c>
      <c r="D443" s="129">
        <f t="shared" si="16"/>
        <v>0.00490870435217605</v>
      </c>
      <c r="E443" s="165">
        <v>23688.95</v>
      </c>
      <c r="F443" s="153">
        <f t="shared" si="17"/>
        <v>-0.00685762771249887</v>
      </c>
    </row>
    <row r="444" ht="14.25" customHeight="1" spans="2:6">
      <c r="B444" s="136">
        <v>45664</v>
      </c>
      <c r="C444" s="165">
        <v>1590.85</v>
      </c>
      <c r="D444" s="129">
        <f t="shared" si="16"/>
        <v>0.0052487663827514</v>
      </c>
      <c r="E444" s="165">
        <v>23707.9</v>
      </c>
      <c r="F444" s="153">
        <f t="shared" si="17"/>
        <v>-0.000799311621864418</v>
      </c>
    </row>
    <row r="445" ht="14.25" customHeight="1" spans="2:6">
      <c r="B445" s="136">
        <v>45663</v>
      </c>
      <c r="C445" s="165">
        <v>1588.45</v>
      </c>
      <c r="D445" s="129">
        <f t="shared" si="16"/>
        <v>0.00151090685888744</v>
      </c>
      <c r="E445" s="165">
        <v>23616.05</v>
      </c>
      <c r="F445" s="153">
        <f t="shared" si="17"/>
        <v>0.00388930409615496</v>
      </c>
    </row>
    <row r="446" ht="14.25" customHeight="1" spans="2:6">
      <c r="B446" s="136">
        <v>45660</v>
      </c>
      <c r="C446" s="165">
        <v>1598.85</v>
      </c>
      <c r="D446" s="129">
        <f t="shared" si="16"/>
        <v>-0.00650467523532527</v>
      </c>
      <c r="E446" s="165">
        <v>24004.75</v>
      </c>
      <c r="F446" s="153">
        <f t="shared" si="17"/>
        <v>-0.0161926285422677</v>
      </c>
    </row>
    <row r="447" ht="14.25" customHeight="1" spans="2:6">
      <c r="B447" s="136">
        <v>45659</v>
      </c>
      <c r="C447" s="165">
        <v>1609.7</v>
      </c>
      <c r="D447" s="129">
        <f t="shared" si="16"/>
        <v>-0.00674038640740515</v>
      </c>
      <c r="E447" s="165">
        <v>24188.65</v>
      </c>
      <c r="F447" s="153">
        <f t="shared" si="17"/>
        <v>-0.00760273930128397</v>
      </c>
    </row>
    <row r="448" ht="14.25" customHeight="1" spans="2:6">
      <c r="B448" s="136">
        <v>45658</v>
      </c>
      <c r="C448" s="165">
        <v>1595.7</v>
      </c>
      <c r="D448" s="129">
        <f t="shared" si="16"/>
        <v>0.00877357899354525</v>
      </c>
      <c r="E448" s="165">
        <v>23742.9</v>
      </c>
      <c r="F448" s="153">
        <f t="shared" si="17"/>
        <v>0.0187740335005413</v>
      </c>
    </row>
    <row r="449" ht="14.25" customHeight="1" spans="2:6">
      <c r="B449" s="136"/>
      <c r="C449" s="165"/>
      <c r="D449" s="153"/>
      <c r="E449" s="165"/>
      <c r="F449" s="153"/>
    </row>
    <row r="450" ht="14.25" customHeight="1" spans="2:6">
      <c r="D450" s="171"/>
      <c r="E450" s="135"/>
      <c r="F450" s="171"/>
    </row>
    <row r="451" ht="14.25" customHeight="1" spans="2:6">
      <c r="D451" s="171"/>
      <c r="E451" s="135"/>
      <c r="F451" s="171"/>
    </row>
    <row r="452" ht="14.25" customHeight="1" spans="2:6">
      <c r="D452" s="171"/>
      <c r="E452" s="135"/>
      <c r="F452" s="171"/>
    </row>
    <row r="453" ht="14.25" customHeight="1" spans="2:6">
      <c r="D453" s="171"/>
      <c r="E453" s="135"/>
      <c r="F453" s="171"/>
    </row>
    <row r="454" ht="14.25" customHeight="1" spans="2:6">
      <c r="D454" s="171"/>
      <c r="E454" s="135"/>
      <c r="F454" s="171"/>
    </row>
    <row r="455" ht="14.25" customHeight="1" spans="2:6">
      <c r="D455" s="171"/>
      <c r="E455" s="135"/>
      <c r="F455" s="171"/>
    </row>
    <row r="456" ht="14.25" customHeight="1" spans="2:6">
      <c r="D456" s="171"/>
      <c r="E456" s="135"/>
      <c r="F456" s="171"/>
    </row>
    <row r="457" ht="14.25" customHeight="1" spans="2:6">
      <c r="D457" s="171"/>
      <c r="E457" s="135"/>
      <c r="F457" s="171"/>
    </row>
    <row r="458" ht="14.25" customHeight="1" spans="2:6">
      <c r="D458" s="171"/>
      <c r="E458" s="135"/>
      <c r="F458" s="171"/>
    </row>
    <row r="459" ht="14.25" customHeight="1" spans="2:6">
      <c r="D459" s="171"/>
      <c r="E459" s="135"/>
      <c r="F459" s="171"/>
    </row>
    <row r="460" ht="14.25" customHeight="1" spans="2:6">
      <c r="D460" s="171"/>
      <c r="E460" s="135"/>
      <c r="F460" s="171"/>
    </row>
    <row r="461" ht="14.25" customHeight="1" spans="2:6">
      <c r="D461" s="171"/>
      <c r="E461" s="135"/>
      <c r="F461" s="171"/>
    </row>
    <row r="462" ht="14.25" customHeight="1" spans="2:6">
      <c r="D462" s="171"/>
      <c r="E462" s="135"/>
      <c r="F462" s="171"/>
    </row>
    <row r="463" ht="14.25" customHeight="1" spans="2:6">
      <c r="D463" s="171"/>
      <c r="E463" s="135"/>
      <c r="F463" s="171"/>
    </row>
    <row r="464" ht="14.25" customHeight="1" spans="2:6">
      <c r="D464" s="171"/>
      <c r="E464" s="135"/>
      <c r="F464" s="171"/>
    </row>
    <row r="465" ht="14.25" customHeight="1" spans="4:6">
      <c r="D465" s="171"/>
      <c r="E465" s="135"/>
      <c r="F465" s="171"/>
    </row>
    <row r="466" ht="14.25" customHeight="1" spans="4:6">
      <c r="D466" s="171"/>
      <c r="E466" s="135"/>
      <c r="F466" s="171"/>
    </row>
    <row r="467" ht="14.25" customHeight="1" spans="4:6">
      <c r="D467" s="171"/>
      <c r="E467" s="135"/>
      <c r="F467" s="171"/>
    </row>
    <row r="468" ht="14.25" customHeight="1" spans="4:6">
      <c r="D468" s="171"/>
      <c r="E468" s="135"/>
      <c r="F468" s="171"/>
    </row>
    <row r="469" ht="14.25" customHeight="1" spans="4:6">
      <c r="D469" s="171"/>
      <c r="E469" s="135"/>
      <c r="F469" s="171"/>
    </row>
    <row r="470" ht="14.25" customHeight="1" spans="4:6">
      <c r="D470" s="171"/>
      <c r="E470" s="135"/>
      <c r="F470" s="171"/>
    </row>
    <row r="471" ht="14.25" customHeight="1" spans="4:6">
      <c r="D471" s="171"/>
      <c r="E471" s="135"/>
      <c r="F471" s="171"/>
    </row>
    <row r="472" ht="14.25" customHeight="1" spans="4:6">
      <c r="D472" s="171"/>
      <c r="E472" s="135"/>
      <c r="F472" s="171"/>
    </row>
    <row r="473" ht="14.25" customHeight="1" spans="4:6">
      <c r="D473" s="171"/>
      <c r="E473" s="135"/>
      <c r="F473" s="171"/>
    </row>
    <row r="474" ht="14.25" customHeight="1" spans="4:6">
      <c r="D474" s="171"/>
      <c r="E474" s="135"/>
      <c r="F474" s="171"/>
    </row>
    <row r="475" ht="14.25" customHeight="1" spans="4:6">
      <c r="D475" s="171"/>
      <c r="E475" s="135"/>
      <c r="F475" s="171"/>
    </row>
    <row r="476" ht="14.25" customHeight="1" spans="4:6">
      <c r="D476" s="171"/>
      <c r="E476" s="135"/>
      <c r="F476" s="171"/>
    </row>
    <row r="477" ht="14.25" customHeight="1" spans="4:6">
      <c r="D477" s="171"/>
      <c r="E477" s="135"/>
      <c r="F477" s="171"/>
    </row>
    <row r="478" ht="14.25" customHeight="1" spans="4:6">
      <c r="D478" s="171"/>
      <c r="E478" s="135"/>
      <c r="F478" s="171"/>
    </row>
    <row r="479" ht="14.25" customHeight="1" spans="4:6">
      <c r="D479" s="171"/>
      <c r="E479" s="135"/>
      <c r="F479" s="171"/>
    </row>
    <row r="480" ht="14.25" customHeight="1" spans="4:6">
      <c r="D480" s="171"/>
      <c r="E480" s="135"/>
      <c r="F480" s="171"/>
    </row>
    <row r="481" ht="14.25" customHeight="1" spans="4:6">
      <c r="D481" s="171"/>
      <c r="E481" s="135"/>
      <c r="F481" s="171"/>
    </row>
    <row r="482" ht="14.25" customHeight="1" spans="4:6">
      <c r="D482" s="171"/>
      <c r="E482" s="135"/>
      <c r="F482" s="171"/>
    </row>
    <row r="483" ht="14.25" customHeight="1" spans="4:6">
      <c r="D483" s="171"/>
      <c r="E483" s="135"/>
      <c r="F483" s="171"/>
    </row>
    <row r="484" ht="14.25" customHeight="1" spans="4:6">
      <c r="D484" s="171"/>
      <c r="E484" s="135"/>
      <c r="F484" s="171"/>
    </row>
    <row r="485" ht="14.25" customHeight="1" spans="4:6">
      <c r="D485" s="171"/>
      <c r="E485" s="135"/>
      <c r="F485" s="171"/>
    </row>
    <row r="486" ht="14.25" customHeight="1" spans="4:6">
      <c r="D486" s="171"/>
      <c r="E486" s="135"/>
      <c r="F486" s="171"/>
    </row>
    <row r="487" ht="14.25" customHeight="1" spans="4:6">
      <c r="D487" s="171"/>
      <c r="E487" s="135"/>
      <c r="F487" s="171"/>
    </row>
    <row r="488" ht="14.25" customHeight="1" spans="4:6">
      <c r="D488" s="171"/>
      <c r="E488" s="135"/>
      <c r="F488" s="171"/>
    </row>
    <row r="489" ht="14.25" customHeight="1" spans="4:6">
      <c r="D489" s="171"/>
      <c r="E489" s="135"/>
      <c r="F489" s="171"/>
    </row>
    <row r="490" ht="14.25" customHeight="1" spans="4:6">
      <c r="D490" s="171"/>
      <c r="E490" s="135"/>
      <c r="F490" s="171"/>
    </row>
    <row r="491" ht="14.25" customHeight="1" spans="4:6">
      <c r="D491" s="171"/>
      <c r="E491" s="135"/>
      <c r="F491" s="171"/>
    </row>
    <row r="492" ht="14.25" customHeight="1" spans="4:6">
      <c r="D492" s="171"/>
      <c r="E492" s="135"/>
      <c r="F492" s="171"/>
    </row>
    <row r="493" ht="14.25" customHeight="1" spans="4:6">
      <c r="D493" s="171"/>
      <c r="E493" s="135"/>
      <c r="F493" s="171"/>
    </row>
    <row r="494" ht="14.25" customHeight="1" spans="4:6">
      <c r="D494" s="171"/>
      <c r="E494" s="135"/>
      <c r="F494" s="171"/>
    </row>
    <row r="495" ht="14.25" customHeight="1" spans="4:6">
      <c r="D495" s="171"/>
      <c r="E495" s="135"/>
      <c r="F495" s="171"/>
    </row>
    <row r="496" ht="14.25" customHeight="1" spans="4:6">
      <c r="D496" s="171"/>
      <c r="E496" s="135"/>
      <c r="F496" s="171"/>
    </row>
    <row r="497" ht="14.25" customHeight="1" spans="4:6">
      <c r="D497" s="171"/>
      <c r="E497" s="135"/>
      <c r="F497" s="171"/>
    </row>
    <row r="498" ht="14.25" customHeight="1" spans="4:6">
      <c r="D498" s="171"/>
      <c r="E498" s="135"/>
      <c r="F498" s="171"/>
    </row>
    <row r="499" ht="14.25" customHeight="1" spans="4:6">
      <c r="D499" s="171"/>
      <c r="E499" s="135"/>
      <c r="F499" s="171"/>
    </row>
    <row r="500" ht="14.25" customHeight="1" spans="4:6">
      <c r="D500" s="171"/>
      <c r="E500" s="135"/>
      <c r="F500" s="171"/>
    </row>
    <row r="501" ht="14.25" customHeight="1" spans="4:6">
      <c r="D501" s="171"/>
      <c r="E501" s="135"/>
      <c r="F501" s="171"/>
    </row>
    <row r="502" ht="14.25" customHeight="1" spans="4:6">
      <c r="D502" s="171"/>
      <c r="E502" s="135"/>
      <c r="F502" s="171"/>
    </row>
    <row r="503" ht="14.25" customHeight="1" spans="4:6">
      <c r="D503" s="171"/>
      <c r="E503" s="135"/>
      <c r="F503" s="171"/>
    </row>
    <row r="504" ht="14.25" customHeight="1" spans="4:6">
      <c r="D504" s="171"/>
      <c r="E504" s="135"/>
      <c r="F504" s="171"/>
    </row>
    <row r="505" ht="14.25" customHeight="1" spans="4:6">
      <c r="D505" s="171"/>
      <c r="E505" s="135"/>
      <c r="F505" s="171"/>
    </row>
    <row r="506" ht="14.25" customHeight="1" spans="4:6">
      <c r="D506" s="171"/>
      <c r="E506" s="135"/>
      <c r="F506" s="171"/>
    </row>
    <row r="507" ht="14.25" customHeight="1" spans="4:6">
      <c r="D507" s="171"/>
      <c r="E507" s="135"/>
      <c r="F507" s="171"/>
    </row>
    <row r="508" ht="14.25" customHeight="1" spans="4:6">
      <c r="D508" s="171"/>
      <c r="E508" s="135"/>
      <c r="F508" s="171"/>
    </row>
    <row r="509" ht="14.25" customHeight="1" spans="4:6">
      <c r="D509" s="171"/>
      <c r="E509" s="135"/>
      <c r="F509" s="171"/>
    </row>
    <row r="510" ht="14.25" customHeight="1" spans="4:6">
      <c r="D510" s="171"/>
      <c r="E510" s="135"/>
      <c r="F510" s="171"/>
    </row>
    <row r="511" ht="14.25" customHeight="1" spans="4:6">
      <c r="D511" s="171"/>
      <c r="E511" s="135"/>
      <c r="F511" s="171"/>
    </row>
    <row r="512" ht="14.25" customHeight="1" spans="4:6">
      <c r="D512" s="171"/>
      <c r="E512" s="135"/>
      <c r="F512" s="171"/>
    </row>
    <row r="513" ht="14.25" customHeight="1" spans="4:6">
      <c r="D513" s="171"/>
      <c r="E513" s="135"/>
      <c r="F513" s="171"/>
    </row>
    <row r="514" ht="14.25" customHeight="1" spans="4:6">
      <c r="D514" s="171"/>
      <c r="E514" s="135"/>
      <c r="F514" s="171"/>
    </row>
    <row r="515" ht="14.25" customHeight="1" spans="4:6">
      <c r="D515" s="171"/>
      <c r="E515" s="135"/>
      <c r="F515" s="171"/>
    </row>
    <row r="516" ht="14.25" customHeight="1" spans="4:6">
      <c r="D516" s="171"/>
      <c r="E516" s="135"/>
      <c r="F516" s="171"/>
    </row>
    <row r="517" ht="14.25" customHeight="1" spans="4:6">
      <c r="D517" s="171"/>
      <c r="E517" s="135"/>
      <c r="F517" s="171"/>
    </row>
    <row r="518" ht="14.25" customHeight="1" spans="4:6">
      <c r="D518" s="171"/>
      <c r="E518" s="135"/>
      <c r="F518" s="171"/>
    </row>
    <row r="519" ht="14.25" customHeight="1" spans="4:6">
      <c r="D519" s="171"/>
      <c r="E519" s="135"/>
      <c r="F519" s="171"/>
    </row>
    <row r="520" ht="14.25" customHeight="1" spans="4:6">
      <c r="D520" s="171"/>
      <c r="E520" s="135"/>
      <c r="F520" s="171"/>
    </row>
    <row r="521" ht="14.25" customHeight="1" spans="4:6">
      <c r="D521" s="171"/>
      <c r="E521" s="135"/>
      <c r="F521" s="171"/>
    </row>
    <row r="522" ht="14.25" customHeight="1" spans="4:6">
      <c r="D522" s="171"/>
      <c r="E522" s="135"/>
      <c r="F522" s="171"/>
    </row>
    <row r="523" ht="14.25" customHeight="1" spans="4:6">
      <c r="D523" s="171"/>
      <c r="E523" s="135"/>
      <c r="F523" s="171"/>
    </row>
    <row r="524" ht="14.25" customHeight="1" spans="4:6">
      <c r="D524" s="171"/>
      <c r="E524" s="135"/>
      <c r="F524" s="171"/>
    </row>
    <row r="525" ht="14.25" customHeight="1" spans="4:6">
      <c r="D525" s="171"/>
      <c r="E525" s="135"/>
      <c r="F525" s="171"/>
    </row>
    <row r="526" ht="14.25" customHeight="1" spans="4:6">
      <c r="D526" s="171"/>
      <c r="E526" s="135"/>
      <c r="F526" s="171"/>
    </row>
    <row r="527" ht="14.25" customHeight="1" spans="4:6">
      <c r="D527" s="171"/>
      <c r="E527" s="135"/>
      <c r="F527" s="171"/>
    </row>
    <row r="528" ht="14.25" customHeight="1" spans="4:6">
      <c r="D528" s="171"/>
      <c r="E528" s="135"/>
      <c r="F528" s="171"/>
    </row>
    <row r="529" ht="14.25" customHeight="1" spans="4:6">
      <c r="D529" s="171"/>
      <c r="E529" s="135"/>
      <c r="F529" s="171"/>
    </row>
    <row r="530" ht="14.25" customHeight="1" spans="4:6">
      <c r="D530" s="171"/>
      <c r="E530" s="135"/>
      <c r="F530" s="171"/>
    </row>
    <row r="531" ht="14.25" customHeight="1" spans="4:6">
      <c r="D531" s="171"/>
      <c r="E531" s="135"/>
      <c r="F531" s="171"/>
    </row>
    <row r="532" ht="14.25" customHeight="1" spans="4:6">
      <c r="D532" s="171"/>
      <c r="E532" s="135"/>
      <c r="F532" s="171"/>
    </row>
    <row r="533" ht="14.25" customHeight="1" spans="4:6">
      <c r="D533" s="171"/>
      <c r="E533" s="135"/>
      <c r="F533" s="171"/>
    </row>
    <row r="534" ht="14.25" customHeight="1" spans="4:6">
      <c r="D534" s="171"/>
      <c r="E534" s="135"/>
      <c r="F534" s="171"/>
    </row>
    <row r="535" ht="14.25" customHeight="1" spans="4:6">
      <c r="D535" s="171"/>
      <c r="E535" s="135"/>
      <c r="F535" s="171"/>
    </row>
    <row r="536" ht="14.25" customHeight="1" spans="4:6">
      <c r="D536" s="171"/>
      <c r="E536" s="135"/>
      <c r="F536" s="171"/>
    </row>
    <row r="537" ht="14.25" customHeight="1" spans="4:6">
      <c r="D537" s="171"/>
      <c r="E537" s="135"/>
      <c r="F537" s="171"/>
    </row>
    <row r="538" ht="14.25" customHeight="1" spans="4:6">
      <c r="D538" s="171"/>
      <c r="E538" s="135"/>
      <c r="F538" s="171"/>
    </row>
    <row r="539" ht="14.25" customHeight="1" spans="4:6">
      <c r="D539" s="171"/>
      <c r="E539" s="135"/>
      <c r="F539" s="171"/>
    </row>
    <row r="540" ht="14.25" customHeight="1" spans="4:6">
      <c r="D540" s="171"/>
      <c r="E540" s="135"/>
      <c r="F540" s="171"/>
    </row>
    <row r="541" ht="14.25" customHeight="1" spans="4:6">
      <c r="D541" s="171"/>
      <c r="E541" s="135"/>
      <c r="F541" s="171"/>
    </row>
    <row r="542" ht="14.25" customHeight="1" spans="4:6">
      <c r="D542" s="171"/>
      <c r="E542" s="135"/>
      <c r="F542" s="171"/>
    </row>
    <row r="543" ht="14.25" customHeight="1" spans="4:6">
      <c r="D543" s="171"/>
      <c r="E543" s="135"/>
      <c r="F543" s="171"/>
    </row>
    <row r="544" ht="14.25" customHeight="1" spans="4:6">
      <c r="D544" s="171"/>
      <c r="E544" s="135"/>
      <c r="F544" s="171"/>
    </row>
    <row r="545" ht="14.25" customHeight="1" spans="4:6">
      <c r="D545" s="171"/>
      <c r="E545" s="135"/>
      <c r="F545" s="171"/>
    </row>
    <row r="546" ht="14.25" customHeight="1" spans="4:6">
      <c r="D546" s="171"/>
      <c r="E546" s="135"/>
      <c r="F546" s="171"/>
    </row>
    <row r="547" ht="14.25" customHeight="1" spans="4:6">
      <c r="D547" s="171"/>
      <c r="E547" s="135"/>
      <c r="F547" s="171"/>
    </row>
    <row r="548" ht="14.25" customHeight="1" spans="4:6">
      <c r="D548" s="171"/>
      <c r="E548" s="135"/>
      <c r="F548" s="171"/>
    </row>
    <row r="549" ht="14.25" customHeight="1" spans="4:6">
      <c r="D549" s="171"/>
      <c r="E549" s="135"/>
      <c r="F549" s="171"/>
    </row>
    <row r="550" ht="14.25" customHeight="1" spans="4:6">
      <c r="D550" s="171"/>
      <c r="E550" s="135"/>
      <c r="F550" s="171"/>
    </row>
    <row r="551" ht="14.25" customHeight="1" spans="4:6">
      <c r="D551" s="171"/>
      <c r="E551" s="135"/>
      <c r="F551" s="171"/>
    </row>
    <row r="552" ht="14.25" customHeight="1" spans="4:6">
      <c r="D552" s="171"/>
      <c r="E552" s="135"/>
      <c r="F552" s="171"/>
    </row>
    <row r="553" ht="14.25" customHeight="1" spans="4:6">
      <c r="D553" s="171"/>
      <c r="E553" s="135"/>
      <c r="F553" s="171"/>
    </row>
    <row r="554" ht="14.25" customHeight="1" spans="4:6">
      <c r="D554" s="171"/>
      <c r="E554" s="135"/>
      <c r="F554" s="171"/>
    </row>
    <row r="555" ht="14.25" customHeight="1" spans="4:6">
      <c r="D555" s="171"/>
      <c r="E555" s="135"/>
      <c r="F555" s="171"/>
    </row>
    <row r="556" ht="14.25" customHeight="1" spans="4:6">
      <c r="D556" s="171"/>
      <c r="E556" s="135"/>
      <c r="F556" s="171"/>
    </row>
    <row r="557" ht="14.25" customHeight="1" spans="4:6">
      <c r="D557" s="171"/>
      <c r="E557" s="135"/>
      <c r="F557" s="171"/>
    </row>
    <row r="558" ht="14.25" customHeight="1" spans="4:6">
      <c r="D558" s="171"/>
      <c r="E558" s="135"/>
      <c r="F558" s="171"/>
    </row>
    <row r="559" ht="14.25" customHeight="1" spans="4:6">
      <c r="D559" s="171"/>
      <c r="E559" s="135"/>
      <c r="F559" s="171"/>
    </row>
    <row r="560" ht="14.25" customHeight="1" spans="4:6">
      <c r="D560" s="171"/>
      <c r="E560" s="135"/>
      <c r="F560" s="171"/>
    </row>
    <row r="561" ht="14.25" customHeight="1" spans="4:6">
      <c r="D561" s="171"/>
      <c r="E561" s="135"/>
      <c r="F561" s="171"/>
    </row>
    <row r="562" ht="14.25" customHeight="1" spans="4:6">
      <c r="D562" s="171"/>
      <c r="E562" s="135"/>
      <c r="F562" s="171"/>
    </row>
    <row r="563" ht="14.25" customHeight="1" spans="4:6">
      <c r="D563" s="171"/>
      <c r="E563" s="135"/>
      <c r="F563" s="171"/>
    </row>
    <row r="564" ht="14.25" customHeight="1" spans="4:6">
      <c r="D564" s="171"/>
      <c r="E564" s="135"/>
      <c r="F564" s="171"/>
    </row>
    <row r="565" ht="14.25" customHeight="1" spans="4:6">
      <c r="D565" s="171"/>
      <c r="E565" s="135"/>
      <c r="F565" s="171"/>
    </row>
    <row r="566" ht="14.25" customHeight="1" spans="4:6">
      <c r="D566" s="171"/>
      <c r="E566" s="135"/>
      <c r="F566" s="171"/>
    </row>
    <row r="567" ht="14.25" customHeight="1" spans="4:6">
      <c r="D567" s="171"/>
      <c r="E567" s="135"/>
      <c r="F567" s="171"/>
    </row>
    <row r="568" ht="14.25" customHeight="1" spans="4:6">
      <c r="D568" s="171"/>
      <c r="E568" s="135"/>
      <c r="F568" s="171"/>
    </row>
    <row r="569" ht="14.25" customHeight="1" spans="4:6">
      <c r="D569" s="171"/>
      <c r="E569" s="135"/>
      <c r="F569" s="171"/>
    </row>
    <row r="570" ht="14.25" customHeight="1" spans="4:6">
      <c r="D570" s="171"/>
      <c r="E570" s="135"/>
      <c r="F570" s="171"/>
    </row>
    <row r="571" ht="14.25" customHeight="1" spans="4:6">
      <c r="D571" s="171"/>
      <c r="E571" s="135"/>
      <c r="F571" s="171"/>
    </row>
    <row r="572" ht="14.25" customHeight="1" spans="4:6">
      <c r="D572" s="171"/>
      <c r="E572" s="135"/>
      <c r="F572" s="171"/>
    </row>
    <row r="573" ht="14.25" customHeight="1" spans="4:6">
      <c r="D573" s="171"/>
      <c r="E573" s="135"/>
      <c r="F573" s="171"/>
    </row>
    <row r="574" ht="14.25" customHeight="1" spans="4:6">
      <c r="D574" s="171"/>
      <c r="E574" s="135"/>
      <c r="F574" s="171"/>
    </row>
    <row r="575" ht="14.25" customHeight="1" spans="4:6">
      <c r="D575" s="171"/>
      <c r="E575" s="135"/>
      <c r="F575" s="171"/>
    </row>
    <row r="576" ht="14.25" customHeight="1" spans="4:6">
      <c r="D576" s="171"/>
      <c r="E576" s="135"/>
      <c r="F576" s="171"/>
    </row>
    <row r="577" ht="14.25" customHeight="1" spans="4:6">
      <c r="D577" s="171"/>
      <c r="E577" s="135"/>
      <c r="F577" s="171"/>
    </row>
    <row r="578" ht="14.25" customHeight="1" spans="4:6">
      <c r="D578" s="171"/>
      <c r="E578" s="135"/>
      <c r="F578" s="171"/>
    </row>
    <row r="579" ht="14.25" customHeight="1" spans="4:6">
      <c r="D579" s="171"/>
      <c r="E579" s="135"/>
      <c r="F579" s="171"/>
    </row>
    <row r="580" ht="14.25" customHeight="1" spans="4:6">
      <c r="D580" s="171"/>
      <c r="E580" s="135"/>
      <c r="F580" s="171"/>
    </row>
    <row r="581" ht="14.25" customHeight="1" spans="4:6">
      <c r="D581" s="171"/>
      <c r="E581" s="135"/>
      <c r="F581" s="171"/>
    </row>
    <row r="582" ht="14.25" customHeight="1" spans="4:6">
      <c r="D582" s="171"/>
      <c r="E582" s="135"/>
      <c r="F582" s="171"/>
    </row>
    <row r="583" ht="14.25" customHeight="1" spans="4:6">
      <c r="D583" s="171"/>
      <c r="E583" s="135"/>
      <c r="F583" s="171"/>
    </row>
    <row r="584" ht="14.25" customHeight="1" spans="4:6">
      <c r="D584" s="171"/>
      <c r="E584" s="135"/>
      <c r="F584" s="171"/>
    </row>
    <row r="585" ht="14.25" customHeight="1" spans="4:6">
      <c r="D585" s="171"/>
      <c r="E585" s="135"/>
      <c r="F585" s="171"/>
    </row>
    <row r="586" ht="14.25" customHeight="1" spans="4:6">
      <c r="D586" s="171"/>
      <c r="E586" s="135"/>
      <c r="F586" s="171"/>
    </row>
    <row r="587" ht="14.25" customHeight="1" spans="4:6">
      <c r="D587" s="171"/>
      <c r="E587" s="135"/>
      <c r="F587" s="171"/>
    </row>
    <row r="588" ht="14.25" customHeight="1" spans="4:6">
      <c r="D588" s="171"/>
      <c r="E588" s="135"/>
      <c r="F588" s="171"/>
    </row>
    <row r="589" ht="14.25" customHeight="1" spans="4:6">
      <c r="D589" s="171"/>
      <c r="E589" s="135"/>
      <c r="F589" s="171"/>
    </row>
    <row r="590" ht="14.25" customHeight="1" spans="4:6">
      <c r="D590" s="171"/>
      <c r="E590" s="135"/>
      <c r="F590" s="171"/>
    </row>
    <row r="591" ht="14.25" customHeight="1" spans="4:6">
      <c r="D591" s="171"/>
      <c r="E591" s="135"/>
      <c r="F591" s="171"/>
    </row>
    <row r="592" ht="14.25" customHeight="1" spans="4:6">
      <c r="D592" s="171"/>
      <c r="E592" s="135"/>
      <c r="F592" s="171"/>
    </row>
    <row r="593" ht="14.25" customHeight="1" spans="4:6">
      <c r="D593" s="171"/>
      <c r="E593" s="135"/>
      <c r="F593" s="171"/>
    </row>
    <row r="594" ht="14.25" customHeight="1" spans="4:6">
      <c r="D594" s="171"/>
      <c r="E594" s="135"/>
      <c r="F594" s="171"/>
    </row>
    <row r="595" ht="14.25" customHeight="1" spans="4:6">
      <c r="D595" s="171"/>
      <c r="E595" s="135"/>
      <c r="F595" s="171"/>
    </row>
    <row r="596" ht="14.25" customHeight="1" spans="4:6">
      <c r="D596" s="171"/>
      <c r="E596" s="135"/>
      <c r="F596" s="171"/>
    </row>
    <row r="597" ht="14.25" customHeight="1" spans="4:6">
      <c r="D597" s="171"/>
      <c r="E597" s="135"/>
      <c r="F597" s="171"/>
    </row>
    <row r="598" ht="14.25" customHeight="1" spans="4:6">
      <c r="D598" s="171"/>
      <c r="E598" s="135"/>
      <c r="F598" s="171"/>
    </row>
    <row r="599" ht="14.25" customHeight="1" spans="4:6">
      <c r="D599" s="171"/>
      <c r="E599" s="135"/>
      <c r="F599" s="171"/>
    </row>
    <row r="600" ht="14.25" customHeight="1" spans="4:6">
      <c r="D600" s="171"/>
      <c r="E600" s="135"/>
      <c r="F600" s="171"/>
    </row>
    <row r="601" ht="14.25" customHeight="1" spans="4:6">
      <c r="D601" s="171"/>
      <c r="E601" s="135"/>
      <c r="F601" s="171"/>
    </row>
    <row r="602" ht="14.25" customHeight="1" spans="4:6">
      <c r="D602" s="171"/>
      <c r="E602" s="135"/>
      <c r="F602" s="171"/>
    </row>
    <row r="603" ht="14.25" customHeight="1" spans="4:6">
      <c r="D603" s="171"/>
      <c r="E603" s="135"/>
      <c r="F603" s="171"/>
    </row>
    <row r="604" ht="14.25" customHeight="1" spans="4:6">
      <c r="D604" s="171"/>
      <c r="E604" s="135"/>
      <c r="F604" s="171"/>
    </row>
    <row r="605" ht="14.25" customHeight="1" spans="4:6">
      <c r="D605" s="171"/>
      <c r="E605" s="135"/>
      <c r="F605" s="171"/>
    </row>
    <row r="606" ht="14.25" customHeight="1" spans="4:6">
      <c r="D606" s="171"/>
      <c r="E606" s="135"/>
      <c r="F606" s="171"/>
    </row>
    <row r="607" ht="14.25" customHeight="1" spans="4:6">
      <c r="D607" s="171"/>
      <c r="E607" s="135"/>
      <c r="F607" s="171"/>
    </row>
    <row r="608" ht="14.25" customHeight="1" spans="4:6">
      <c r="D608" s="171"/>
      <c r="E608" s="135"/>
      <c r="F608" s="171"/>
    </row>
    <row r="609" ht="14.25" customHeight="1" spans="4:6">
      <c r="D609" s="171"/>
      <c r="E609" s="135"/>
      <c r="F609" s="171"/>
    </row>
    <row r="610" ht="14.25" customHeight="1" spans="4:6">
      <c r="D610" s="171"/>
      <c r="E610" s="135"/>
      <c r="F610" s="171"/>
    </row>
    <row r="611" ht="14.25" customHeight="1" spans="4:6">
      <c r="D611" s="171"/>
      <c r="E611" s="135"/>
      <c r="F611" s="171"/>
    </row>
    <row r="612" ht="14.25" customHeight="1" spans="4:6">
      <c r="D612" s="171"/>
      <c r="E612" s="135"/>
      <c r="F612" s="171"/>
    </row>
    <row r="613" ht="14.25" customHeight="1" spans="4:6">
      <c r="D613" s="171"/>
      <c r="E613" s="135"/>
      <c r="F613" s="171"/>
    </row>
    <row r="614" ht="14.25" customHeight="1" spans="4:6">
      <c r="D614" s="171"/>
      <c r="E614" s="135"/>
      <c r="F614" s="171"/>
    </row>
    <row r="615" ht="14.25" customHeight="1" spans="4:6">
      <c r="D615" s="171"/>
      <c r="E615" s="135"/>
      <c r="F615" s="171"/>
    </row>
    <row r="616" ht="14.25" customHeight="1" spans="4:6">
      <c r="D616" s="171"/>
      <c r="E616" s="135"/>
      <c r="F616" s="171"/>
    </row>
    <row r="617" ht="14.25" customHeight="1" spans="4:6">
      <c r="D617" s="171"/>
      <c r="E617" s="135"/>
      <c r="F617" s="171"/>
    </row>
    <row r="618" ht="14.25" customHeight="1" spans="4:6">
      <c r="D618" s="171"/>
      <c r="E618" s="135"/>
      <c r="F618" s="171"/>
    </row>
    <row r="619" ht="14.25" customHeight="1" spans="4:6">
      <c r="D619" s="171"/>
      <c r="E619" s="135"/>
      <c r="F619" s="171"/>
    </row>
    <row r="620" ht="14.25" customHeight="1" spans="4:6">
      <c r="D620" s="171"/>
      <c r="E620" s="135"/>
      <c r="F620" s="171"/>
    </row>
    <row r="621" ht="14.25" customHeight="1" spans="4:6">
      <c r="D621" s="171"/>
      <c r="E621" s="135"/>
      <c r="F621" s="171"/>
    </row>
    <row r="622" ht="14.25" customHeight="1" spans="4:6">
      <c r="D622" s="171"/>
      <c r="E622" s="135"/>
      <c r="F622" s="171"/>
    </row>
    <row r="623" ht="14.25" customHeight="1" spans="4:6">
      <c r="D623" s="171"/>
      <c r="E623" s="135"/>
      <c r="F623" s="171"/>
    </row>
    <row r="624" ht="14.25" customHeight="1" spans="4:6">
      <c r="D624" s="171"/>
      <c r="E624" s="135"/>
      <c r="F624" s="171"/>
    </row>
    <row r="625" ht="14.25" customHeight="1" spans="4:6">
      <c r="D625" s="171"/>
      <c r="E625" s="135"/>
      <c r="F625" s="171"/>
    </row>
    <row r="626" ht="14.25" customHeight="1" spans="4:6">
      <c r="D626" s="171"/>
      <c r="E626" s="135"/>
      <c r="F626" s="171"/>
    </row>
    <row r="627" ht="14.25" customHeight="1" spans="4:6">
      <c r="D627" s="171"/>
      <c r="E627" s="135"/>
      <c r="F627" s="171"/>
    </row>
    <row r="628" ht="14.25" customHeight="1" spans="4:6">
      <c r="D628" s="171"/>
      <c r="E628" s="135"/>
      <c r="F628" s="171"/>
    </row>
    <row r="629" ht="14.25" customHeight="1" spans="4:6">
      <c r="D629" s="171"/>
      <c r="E629" s="135"/>
      <c r="F629" s="171"/>
    </row>
    <row r="630" ht="14.25" customHeight="1" spans="4:6">
      <c r="D630" s="171"/>
      <c r="E630" s="135"/>
      <c r="F630" s="171"/>
    </row>
    <row r="631" ht="14.25" customHeight="1" spans="4:6">
      <c r="D631" s="171"/>
      <c r="E631" s="135"/>
      <c r="F631" s="171"/>
    </row>
    <row r="632" ht="14.25" customHeight="1" spans="4:6">
      <c r="D632" s="171"/>
      <c r="E632" s="135"/>
      <c r="F632" s="171"/>
    </row>
    <row r="633" ht="14.25" customHeight="1" spans="4:6">
      <c r="D633" s="171"/>
      <c r="E633" s="135"/>
      <c r="F633" s="171"/>
    </row>
    <row r="634" ht="14.25" customHeight="1" spans="4:6">
      <c r="D634" s="171"/>
      <c r="E634" s="135"/>
      <c r="F634" s="171"/>
    </row>
    <row r="635" ht="14.25" customHeight="1" spans="4:6">
      <c r="D635" s="171"/>
      <c r="E635" s="135"/>
      <c r="F635" s="171"/>
    </row>
    <row r="636" ht="14.25" customHeight="1" spans="4:6">
      <c r="D636" s="171"/>
      <c r="E636" s="135"/>
      <c r="F636" s="171"/>
    </row>
    <row r="637" ht="14.25" customHeight="1" spans="4:6">
      <c r="D637" s="171"/>
      <c r="E637" s="135"/>
      <c r="F637" s="171"/>
    </row>
    <row r="638" ht="14.25" customHeight="1" spans="4:6">
      <c r="D638" s="171"/>
      <c r="E638" s="135"/>
      <c r="F638" s="171"/>
    </row>
    <row r="639" ht="14.25" customHeight="1" spans="4:6">
      <c r="D639" s="171"/>
      <c r="E639" s="135"/>
      <c r="F639" s="171"/>
    </row>
    <row r="640" ht="14.25" customHeight="1" spans="4:6">
      <c r="D640" s="171"/>
      <c r="E640" s="135"/>
      <c r="F640" s="171"/>
    </row>
    <row r="641" ht="14.25" customHeight="1" spans="4:6">
      <c r="D641" s="171"/>
      <c r="E641" s="135"/>
      <c r="F641" s="171"/>
    </row>
    <row r="642" ht="14.25" customHeight="1" spans="4:6">
      <c r="D642" s="171"/>
      <c r="E642" s="135"/>
      <c r="F642" s="171"/>
    </row>
    <row r="643" ht="14.25" customHeight="1" spans="4:6">
      <c r="D643" s="171"/>
      <c r="E643" s="135"/>
      <c r="F643" s="171"/>
    </row>
    <row r="644" ht="14.25" customHeight="1" spans="4:6">
      <c r="D644" s="171"/>
      <c r="E644" s="135"/>
      <c r="F644" s="171"/>
    </row>
    <row r="645" ht="14.25" customHeight="1" spans="4:6">
      <c r="D645" s="171"/>
      <c r="E645" s="135"/>
      <c r="F645" s="171"/>
    </row>
    <row r="646" ht="14.25" customHeight="1" spans="4:6">
      <c r="D646" s="171"/>
      <c r="E646" s="135"/>
      <c r="F646" s="171"/>
    </row>
    <row r="647" ht="14.25" customHeight="1" spans="4:6">
      <c r="D647" s="171"/>
      <c r="E647" s="135"/>
      <c r="F647" s="171"/>
    </row>
    <row r="648" ht="14.25" customHeight="1" spans="4:6">
      <c r="D648" s="171"/>
      <c r="E648" s="135"/>
      <c r="F648" s="171"/>
    </row>
    <row r="649" ht="14.25" customHeight="1" spans="4:6">
      <c r="D649" s="171"/>
      <c r="E649" s="135"/>
      <c r="F649" s="171"/>
    </row>
    <row r="650" ht="14.25" customHeight="1" spans="4:6">
      <c r="D650" s="171"/>
      <c r="E650" s="135"/>
      <c r="F650" s="171"/>
    </row>
    <row r="651" ht="14.25" customHeight="1" spans="4:6">
      <c r="D651" s="171"/>
      <c r="E651" s="135"/>
      <c r="F651" s="171"/>
    </row>
    <row r="652" ht="14.25" customHeight="1" spans="4:6">
      <c r="D652" s="171"/>
      <c r="E652" s="135"/>
      <c r="F652" s="171"/>
    </row>
    <row r="653" ht="14.25" customHeight="1" spans="4:6">
      <c r="D653" s="171"/>
      <c r="E653" s="135"/>
      <c r="F653" s="171"/>
    </row>
    <row r="654" ht="14.25" customHeight="1" spans="4:6">
      <c r="D654" s="171"/>
      <c r="E654" s="135"/>
      <c r="F654" s="171"/>
    </row>
    <row r="655" ht="14.25" customHeight="1" spans="4:6">
      <c r="D655" s="171"/>
      <c r="E655" s="135"/>
      <c r="F655" s="171"/>
    </row>
    <row r="656" ht="14.25" customHeight="1" spans="4:6">
      <c r="D656" s="171"/>
      <c r="E656" s="135"/>
      <c r="F656" s="171"/>
    </row>
    <row r="657" ht="14.25" customHeight="1" spans="4:6">
      <c r="D657" s="171"/>
      <c r="E657" s="135"/>
      <c r="F657" s="171"/>
    </row>
    <row r="658" ht="14.25" customHeight="1" spans="4:6">
      <c r="D658" s="171"/>
      <c r="E658" s="135"/>
      <c r="F658" s="171"/>
    </row>
    <row r="659" ht="14.25" customHeight="1" spans="4:6">
      <c r="D659" s="171"/>
      <c r="E659" s="135"/>
      <c r="F659" s="171"/>
    </row>
    <row r="660" ht="14.25" customHeight="1" spans="4:6">
      <c r="D660" s="171"/>
      <c r="E660" s="135"/>
      <c r="F660" s="171"/>
    </row>
    <row r="661" ht="14.25" customHeight="1" spans="4:6">
      <c r="D661" s="171"/>
      <c r="E661" s="135"/>
      <c r="F661" s="171"/>
    </row>
    <row r="662" ht="14.25" customHeight="1" spans="4:6">
      <c r="D662" s="171"/>
      <c r="E662" s="135"/>
      <c r="F662" s="171"/>
    </row>
    <row r="663" ht="14.25" customHeight="1" spans="4:6">
      <c r="D663" s="171"/>
      <c r="E663" s="135"/>
      <c r="F663" s="171"/>
    </row>
    <row r="664" ht="14.25" customHeight="1" spans="4:6">
      <c r="D664" s="171"/>
      <c r="E664" s="135"/>
      <c r="F664" s="171"/>
    </row>
    <row r="665" ht="14.25" customHeight="1" spans="4:6">
      <c r="D665" s="171"/>
      <c r="E665" s="135"/>
      <c r="F665" s="171"/>
    </row>
    <row r="666" ht="14.25" customHeight="1" spans="4:6">
      <c r="D666" s="171"/>
      <c r="E666" s="135"/>
      <c r="F666" s="171"/>
    </row>
    <row r="667" ht="14.25" customHeight="1" spans="4:6">
      <c r="D667" s="171"/>
      <c r="E667" s="135"/>
      <c r="F667" s="171"/>
    </row>
    <row r="668" ht="14.25" customHeight="1" spans="4:6">
      <c r="D668" s="171"/>
      <c r="E668" s="135"/>
      <c r="F668" s="171"/>
    </row>
    <row r="669" ht="14.25" customHeight="1" spans="4:6">
      <c r="D669" s="171"/>
      <c r="E669" s="135"/>
      <c r="F669" s="171"/>
    </row>
    <row r="670" ht="14.25" customHeight="1" spans="4:6">
      <c r="D670" s="171"/>
      <c r="E670" s="135"/>
      <c r="F670" s="171"/>
    </row>
    <row r="671" ht="14.25" customHeight="1" spans="4:6">
      <c r="D671" s="171"/>
      <c r="E671" s="135"/>
      <c r="F671" s="171"/>
    </row>
    <row r="672" ht="14.25" customHeight="1" spans="4:6">
      <c r="D672" s="171"/>
      <c r="E672" s="135"/>
      <c r="F672" s="171"/>
    </row>
    <row r="673" ht="14.25" customHeight="1" spans="4:6">
      <c r="D673" s="171"/>
      <c r="E673" s="135"/>
      <c r="F673" s="171"/>
    </row>
    <row r="674" ht="14.25" customHeight="1" spans="4:6">
      <c r="D674" s="171"/>
      <c r="E674" s="135"/>
      <c r="F674" s="171"/>
    </row>
    <row r="675" ht="14.25" customHeight="1" spans="4:6">
      <c r="D675" s="171"/>
      <c r="E675" s="135"/>
      <c r="F675" s="171"/>
    </row>
    <row r="676" ht="14.25" customHeight="1" spans="4:6">
      <c r="D676" s="171"/>
      <c r="E676" s="135"/>
      <c r="F676" s="171"/>
    </row>
    <row r="677" ht="14.25" customHeight="1" spans="4:6">
      <c r="D677" s="171"/>
      <c r="E677" s="135"/>
      <c r="F677" s="171"/>
    </row>
    <row r="678" ht="14.25" customHeight="1" spans="4:6">
      <c r="D678" s="171"/>
      <c r="E678" s="135"/>
      <c r="F678" s="171"/>
    </row>
    <row r="679" ht="14.25" customHeight="1" spans="4:6">
      <c r="D679" s="171"/>
      <c r="E679" s="135"/>
      <c r="F679" s="171"/>
    </row>
    <row r="680" ht="14.25" customHeight="1" spans="4:6">
      <c r="D680" s="171"/>
      <c r="E680" s="135"/>
      <c r="F680" s="171"/>
    </row>
    <row r="681" ht="14.25" customHeight="1" spans="4:6">
      <c r="D681" s="171"/>
      <c r="E681" s="135"/>
      <c r="F681" s="171"/>
    </row>
    <row r="682" ht="14.25" customHeight="1" spans="4:6">
      <c r="D682" s="171"/>
      <c r="E682" s="135"/>
      <c r="F682" s="171"/>
    </row>
    <row r="683" ht="14.25" customHeight="1" spans="4:6">
      <c r="D683" s="171"/>
      <c r="E683" s="135"/>
      <c r="F683" s="171"/>
    </row>
    <row r="684" ht="14.25" customHeight="1" spans="4:6">
      <c r="D684" s="171"/>
      <c r="E684" s="135"/>
      <c r="F684" s="171"/>
    </row>
    <row r="685" ht="14.25" customHeight="1" spans="4:6">
      <c r="D685" s="171"/>
      <c r="E685" s="135"/>
      <c r="F685" s="171"/>
    </row>
    <row r="686" ht="14.25" customHeight="1" spans="4:6">
      <c r="D686" s="171"/>
      <c r="E686" s="135"/>
      <c r="F686" s="171"/>
    </row>
    <row r="687" ht="14.25" customHeight="1" spans="4:6">
      <c r="D687" s="171"/>
      <c r="E687" s="135"/>
      <c r="F687" s="171"/>
    </row>
    <row r="688" ht="14.25" customHeight="1" spans="4:6">
      <c r="D688" s="171"/>
      <c r="E688" s="135"/>
      <c r="F688" s="171"/>
    </row>
    <row r="689" ht="14.25" customHeight="1" spans="4:6">
      <c r="D689" s="171"/>
      <c r="E689" s="135"/>
      <c r="F689" s="171"/>
    </row>
    <row r="690" ht="14.25" customHeight="1" spans="4:6">
      <c r="D690" s="171"/>
      <c r="E690" s="135"/>
      <c r="F690" s="171"/>
    </row>
    <row r="691" ht="14.25" customHeight="1" spans="4:6">
      <c r="D691" s="171"/>
      <c r="E691" s="135"/>
      <c r="F691" s="171"/>
    </row>
    <row r="692" ht="14.25" customHeight="1" spans="4:6">
      <c r="D692" s="171"/>
      <c r="E692" s="135"/>
      <c r="F692" s="171"/>
    </row>
    <row r="693" ht="14.25" customHeight="1" spans="4:6">
      <c r="D693" s="171"/>
      <c r="E693" s="135"/>
      <c r="F693" s="171"/>
    </row>
    <row r="694" ht="14.25" customHeight="1" spans="4:6">
      <c r="D694" s="171"/>
      <c r="E694" s="135"/>
      <c r="F694" s="171"/>
    </row>
    <row r="695" ht="14.25" customHeight="1" spans="4:6">
      <c r="D695" s="171"/>
      <c r="E695" s="135"/>
      <c r="F695" s="171"/>
    </row>
    <row r="696" ht="14.25" customHeight="1" spans="4:6">
      <c r="D696" s="171"/>
      <c r="E696" s="135"/>
      <c r="F696" s="171"/>
    </row>
    <row r="697" ht="14.25" customHeight="1" spans="4:6">
      <c r="D697" s="171"/>
      <c r="E697" s="135"/>
      <c r="F697" s="171"/>
    </row>
  </sheetData>
  <mergeCells count="1">
    <mergeCell ref="A1:J4"/>
  </mergeCells>
  <conditionalFormatting sqref="F32">
    <cfRule type="cellIs" dxfId="0" priority="16" operator="greaterThan">
      <formula>0</formula>
    </cfRule>
    <cfRule type="cellIs" dxfId="1" priority="17" operator="lessThan">
      <formula>0</formula>
    </cfRule>
  </conditionalFormatting>
  <conditionalFormatting sqref="D9:D24">
    <cfRule type="cellIs" dxfId="1" priority="2" operator="lessThan">
      <formula>0</formula>
    </cfRule>
    <cfRule type="cellIs" dxfId="0" priority="1" operator="greaterThan">
      <formula>0</formula>
    </cfRule>
  </conditionalFormatting>
  <conditionalFormatting sqref="D25:D33">
    <cfRule type="cellIs" dxfId="0" priority="14" operator="greaterThan">
      <formula>0</formula>
    </cfRule>
    <cfRule type="cellIs" dxfId="1" priority="15" operator="lessThan">
      <formula>0</formula>
    </cfRule>
  </conditionalFormatting>
  <conditionalFormatting sqref="D34:D697">
    <cfRule type="cellIs" dxfId="0" priority="18" operator="greaterThan">
      <formula>0</formula>
    </cfRule>
    <cfRule type="cellIs" dxfId="1" priority="19" operator="lessThan">
      <formula>0</formula>
    </cfRule>
  </conditionalFormatting>
  <conditionalFormatting sqref="F9:F16">
    <cfRule type="cellIs" dxfId="1" priority="4" operator="lessThan">
      <formula>0</formula>
    </cfRule>
    <cfRule type="cellIs" dxfId="0" priority="3" operator="greaterThan">
      <formula>0</formula>
    </cfRule>
  </conditionalFormatting>
  <conditionalFormatting sqref="F17:F25">
    <cfRule type="cellIs" dxfId="0" priority="7" operator="greaterThan">
      <formula>0</formula>
    </cfRule>
    <cfRule type="cellIs" dxfId="1" priority="8" operator="lessThan">
      <formula>0</formula>
    </cfRule>
  </conditionalFormatting>
  <conditionalFormatting sqref="F26:F31">
    <cfRule type="cellIs" dxfId="0" priority="11" operator="greaterThan">
      <formula>0</formula>
    </cfRule>
    <cfRule type="cellIs" dxfId="1" priority="12" operator="lessThan">
      <formula>0</formula>
    </cfRule>
  </conditionalFormatting>
  <conditionalFormatting sqref="F33:F697">
    <cfRule type="cellIs" dxfId="0" priority="20" operator="greaterThan">
      <formula>0</formula>
    </cfRule>
    <cfRule type="cellIs" dxfId="1" priority="21" operator="lessThan">
      <formula>0</formula>
    </cfRule>
  </conditionalFormatting>
  <pageMargins left="0.7" right="0.7" top="0.75" bottom="0.75" header="0.511811023622047" footer="0.511811023622047"/>
  <pageSetup paperSize="1" orientation="portrait" horizontalDpi="300" verticalDpi="300"/>
  <headerFooter/>
  <ignoredErrors>
    <ignoredError sqref="I21:I24" formulaRange="1"/>
  </ignoredError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O2683"/>
  <sheetViews>
    <sheetView showGridLines="0" workbookViewId="0">
      <selection activeCell="D9" sqref="D9:D20"/>
    </sheetView>
  </sheetViews>
  <sheetFormatPr defaultColWidth="8.89814814814815" defaultRowHeight="14.4"/>
  <cols>
    <col min="1" max="1" width="2.11111111111111" style="118" customWidth="1"/>
    <col min="2" max="2" width="15.4444444444444" style="118" customWidth="1"/>
    <col min="3" max="3" width="21.7685185185185" style="119" customWidth="1"/>
    <col min="4" max="4" width="21.7685185185185" style="120" customWidth="1"/>
    <col min="5" max="5" width="8.89814814814815" style="121"/>
    <col min="6" max="6" width="16.7685185185185" style="118" customWidth="1"/>
    <col min="7" max="7" width="19.3333333333333" style="118" customWidth="1"/>
    <col min="8" max="8" width="15.4444444444444" style="118" customWidth="1"/>
    <col min="9" max="9" width="10.25" style="118" customWidth="1"/>
    <col min="10" max="11" width="8.89814814814815" style="121"/>
    <col min="12" max="12" width="15.25" style="118" customWidth="1"/>
    <col min="13" max="16384" width="8.89814814814815" style="121"/>
  </cols>
  <sheetData>
    <row r="1" ht="14.25" customHeight="1" spans="1:12">
      <c r="A1" s="122" t="s">
        <v>21</v>
      </c>
      <c r="B1" s="122"/>
      <c r="C1" s="122"/>
      <c r="D1" s="122"/>
      <c r="E1" s="122"/>
      <c r="F1" s="122"/>
      <c r="G1" s="122"/>
      <c r="H1" s="122"/>
      <c r="I1" s="122"/>
      <c r="J1" s="122"/>
    </row>
    <row r="2" ht="14.25" customHeight="1" spans="1:12">
      <c r="A2" s="122"/>
      <c r="B2" s="122"/>
      <c r="C2" s="122"/>
      <c r="D2" s="122"/>
      <c r="E2" s="122"/>
      <c r="F2" s="122"/>
      <c r="G2" s="122"/>
      <c r="H2" s="122"/>
      <c r="I2" s="122"/>
      <c r="J2" s="122"/>
    </row>
    <row r="3" ht="14.25" customHeight="1" spans="1:12">
      <c r="A3" s="122"/>
      <c r="B3" s="122"/>
      <c r="C3" s="122"/>
      <c r="D3" s="122"/>
      <c r="E3" s="122"/>
      <c r="F3" s="122"/>
      <c r="G3" s="122"/>
      <c r="H3" s="122"/>
      <c r="I3" s="122"/>
      <c r="J3" s="122"/>
    </row>
    <row r="4" ht="14.25" customHeight="1" spans="1:12">
      <c r="A4" s="122"/>
      <c r="B4" s="122"/>
      <c r="C4" s="122"/>
      <c r="D4" s="122"/>
      <c r="E4" s="122"/>
      <c r="F4" s="122"/>
      <c r="G4" s="122"/>
      <c r="H4" s="122"/>
      <c r="I4" s="122"/>
      <c r="J4" s="122"/>
    </row>
    <row r="7" ht="14.25" customHeight="1" spans="1:12">
      <c r="B7" s="123" t="s">
        <v>394</v>
      </c>
      <c r="C7" s="124" t="s">
        <v>414</v>
      </c>
      <c r="D7" s="124" t="s">
        <v>413</v>
      </c>
      <c r="H7" s="125"/>
    </row>
    <row r="8" s="117" customFormat="1" ht="14.25" customHeight="1" spans="1:12">
      <c r="A8" s="126"/>
      <c r="B8" s="127">
        <f>'Equity Beta'!B8</f>
        <v>46307</v>
      </c>
      <c r="C8" s="128">
        <f>'Equity Beta'!E8</f>
        <v>22363.35</v>
      </c>
      <c r="D8" s="129"/>
      <c r="F8" s="126"/>
      <c r="I8" s="126"/>
      <c r="L8" s="126"/>
    </row>
    <row r="9" s="117" customFormat="1" ht="14.25" customHeight="1" spans="1:12">
      <c r="A9" s="126"/>
      <c r="B9" s="127">
        <f>'Equity Beta'!B9</f>
        <v>46304</v>
      </c>
      <c r="C9" s="128">
        <f>'Equity Beta'!E9</f>
        <v>22520.45</v>
      </c>
      <c r="D9" s="129">
        <f>C9/C8-1</f>
        <v>0.00702488670078516</v>
      </c>
      <c r="F9" s="126"/>
      <c r="I9" s="126"/>
      <c r="L9" s="126"/>
    </row>
    <row r="10" s="117" customFormat="1" ht="14.25" customHeight="1" spans="1:12">
      <c r="A10" s="126"/>
      <c r="B10" s="127">
        <f>'Equity Beta'!B10</f>
        <v>46303</v>
      </c>
      <c r="C10" s="128">
        <f>'Equity Beta'!E10</f>
        <v>22231.8</v>
      </c>
      <c r="D10" s="129">
        <f t="shared" ref="D10:D20" si="0">C10/C9-1</f>
        <v>-0.0128172394423736</v>
      </c>
      <c r="F10" s="126"/>
      <c r="I10" s="126"/>
      <c r="L10" s="126"/>
    </row>
    <row r="11" s="117" customFormat="1" ht="14.25" customHeight="1" spans="1:12">
      <c r="A11" s="126"/>
      <c r="B11" s="127">
        <f>'Equity Beta'!B11</f>
        <v>46302</v>
      </c>
      <c r="C11" s="128">
        <f>'Equity Beta'!E11</f>
        <v>22603.05</v>
      </c>
      <c r="D11" s="129">
        <f t="shared" si="0"/>
        <v>0.0166990527082826</v>
      </c>
      <c r="F11" s="126"/>
      <c r="I11" s="126"/>
      <c r="L11" s="126"/>
    </row>
    <row r="12" s="117" customFormat="1" ht="14.25" customHeight="1" spans="1:12">
      <c r="A12" s="126"/>
      <c r="B12" s="127">
        <f>'Equity Beta'!B12</f>
        <v>46301</v>
      </c>
      <c r="C12" s="128">
        <f>'Equity Beta'!E12</f>
        <v>22776.1</v>
      </c>
      <c r="D12" s="129">
        <f t="shared" si="0"/>
        <v>0.00765604641851425</v>
      </c>
      <c r="F12" s="126"/>
      <c r="I12" s="126"/>
      <c r="L12" s="126"/>
    </row>
    <row r="13" s="117" customFormat="1" ht="14.25" customHeight="1" spans="1:12">
      <c r="A13" s="126"/>
      <c r="B13" s="127">
        <f>'Equity Beta'!B13</f>
        <v>46300</v>
      </c>
      <c r="C13" s="128">
        <f>'Equity Beta'!E13</f>
        <v>22555.75</v>
      </c>
      <c r="D13" s="129">
        <f t="shared" si="0"/>
        <v>-0.0096746150570115</v>
      </c>
      <c r="F13" s="126"/>
      <c r="I13" s="126"/>
      <c r="L13" s="126"/>
    </row>
    <row r="14" s="117" customFormat="1" ht="14.25" customHeight="1" spans="1:12">
      <c r="A14" s="126"/>
      <c r="B14" s="127">
        <f>'Equity Beta'!B14</f>
        <v>46296</v>
      </c>
      <c r="C14" s="128">
        <f>'Equity Beta'!E14</f>
        <v>22421.95</v>
      </c>
      <c r="D14" s="129">
        <f t="shared" si="0"/>
        <v>-0.00593196856677336</v>
      </c>
      <c r="F14" s="126"/>
      <c r="I14" s="126"/>
      <c r="L14" s="126"/>
    </row>
    <row r="15" s="117" customFormat="1" ht="14.25" customHeight="1" spans="1:12">
      <c r="A15" s="126"/>
      <c r="B15" s="127">
        <f>'Equity Beta'!B15</f>
        <v>46295</v>
      </c>
      <c r="C15" s="128">
        <f>'Equity Beta'!E15</f>
        <v>22620.45</v>
      </c>
      <c r="D15" s="129">
        <f t="shared" si="0"/>
        <v>0.00885293205987892</v>
      </c>
      <c r="F15" s="126"/>
      <c r="I15" s="126"/>
      <c r="L15" s="126"/>
    </row>
    <row r="16" s="117" customFormat="1" ht="14.25" customHeight="1" spans="1:12">
      <c r="A16" s="126"/>
      <c r="B16" s="127">
        <f>'Equity Beta'!B16</f>
        <v>46294</v>
      </c>
      <c r="C16" s="128">
        <f>'Equity Beta'!E16</f>
        <v>22716.2</v>
      </c>
      <c r="D16" s="129">
        <f t="shared" si="0"/>
        <v>0.00423289545521865</v>
      </c>
      <c r="F16" s="126"/>
      <c r="I16" s="126"/>
      <c r="L16" s="126"/>
    </row>
    <row r="17" s="117" customFormat="1" ht="14.25" customHeight="1" spans="1:12">
      <c r="A17" s="126"/>
      <c r="B17" s="127">
        <f>'Equity Beta'!B17</f>
        <v>46293</v>
      </c>
      <c r="C17" s="128">
        <f>'Equity Beta'!E17</f>
        <v>22780.25</v>
      </c>
      <c r="D17" s="129">
        <f t="shared" si="0"/>
        <v>0.00281957369630481</v>
      </c>
      <c r="F17" s="126"/>
      <c r="I17" s="126"/>
      <c r="L17" s="126"/>
    </row>
    <row r="18" s="117" customFormat="1" ht="14.25" customHeight="1" spans="1:12">
      <c r="A18" s="126"/>
      <c r="B18" s="127">
        <v>46290</v>
      </c>
      <c r="C18" s="128">
        <v>23140.5</v>
      </c>
      <c r="D18" s="129">
        <f t="shared" si="0"/>
        <v>0.0158141372460794</v>
      </c>
      <c r="F18" s="126"/>
      <c r="G18" s="130"/>
      <c r="I18" s="126"/>
      <c r="L18" s="126"/>
    </row>
    <row r="19" s="117" customFormat="1" ht="14.25" customHeight="1" spans="1:12">
      <c r="A19" s="126"/>
      <c r="B19" s="127">
        <v>46289</v>
      </c>
      <c r="C19" s="128">
        <v>23063.1</v>
      </c>
      <c r="D19" s="129">
        <f t="shared" si="0"/>
        <v>-0.00334478511700276</v>
      </c>
      <c r="F19" s="126"/>
      <c r="G19" s="130"/>
      <c r="I19" s="126"/>
      <c r="L19" s="126"/>
    </row>
    <row r="20" s="117" customFormat="1" ht="14.25" customHeight="1" spans="1:12">
      <c r="A20" s="126"/>
      <c r="B20" s="127">
        <v>46288</v>
      </c>
      <c r="C20" s="128">
        <v>23446.8</v>
      </c>
      <c r="D20" s="129">
        <f t="shared" si="0"/>
        <v>0.0166369655423599</v>
      </c>
      <c r="F20" s="126"/>
      <c r="G20" s="130"/>
      <c r="I20" s="126"/>
      <c r="L20" s="126"/>
    </row>
    <row r="21" s="117" customFormat="1" ht="14.25" customHeight="1" spans="1:12">
      <c r="A21" s="126"/>
      <c r="B21" s="127">
        <v>46287</v>
      </c>
      <c r="C21" s="128">
        <v>23329</v>
      </c>
      <c r="D21" s="129">
        <f t="shared" ref="D19:D26" si="1">C21/C20-1</f>
        <v>-0.00502413975467864</v>
      </c>
      <c r="F21" s="126"/>
      <c r="G21" s="130"/>
      <c r="I21" s="126"/>
      <c r="L21" s="126"/>
    </row>
    <row r="22" s="117" customFormat="1" ht="14.25" customHeight="1" spans="1:12">
      <c r="A22" s="126"/>
      <c r="B22" s="127">
        <v>46286</v>
      </c>
      <c r="C22" s="128">
        <v>23414.3</v>
      </c>
      <c r="D22" s="129">
        <f t="shared" si="1"/>
        <v>0.00365639333018986</v>
      </c>
      <c r="F22" s="126"/>
      <c r="G22" s="130"/>
      <c r="I22" s="126"/>
      <c r="L22" s="126"/>
    </row>
    <row r="23" s="117" customFormat="1" ht="14.25" customHeight="1" spans="1:12">
      <c r="A23" s="126"/>
      <c r="B23" s="127">
        <v>46283</v>
      </c>
      <c r="C23" s="128">
        <v>23346.4</v>
      </c>
      <c r="D23" s="129">
        <f t="shared" si="1"/>
        <v>-0.00289993721785398</v>
      </c>
      <c r="F23" s="126"/>
      <c r="G23" s="130" t="s">
        <v>420</v>
      </c>
      <c r="H23" s="117" t="s">
        <v>421</v>
      </c>
      <c r="I23" s="126"/>
      <c r="L23" s="126"/>
    </row>
    <row r="24" s="117" customFormat="1" ht="14.25" customHeight="1" spans="1:12">
      <c r="A24" s="126"/>
      <c r="B24" s="127">
        <v>46282</v>
      </c>
      <c r="C24" s="128">
        <f>'Equity Beta'!E24</f>
        <v>23270.6</v>
      </c>
      <c r="D24" s="129">
        <f t="shared" si="1"/>
        <v>-0.00324675324675339</v>
      </c>
      <c r="F24" s="126"/>
      <c r="G24" s="130"/>
      <c r="I24" s="126"/>
      <c r="L24" s="126"/>
    </row>
    <row r="25" s="117" customFormat="1" ht="14.25" customHeight="1" spans="1:12">
      <c r="A25" s="126"/>
      <c r="B25" s="127">
        <v>46281</v>
      </c>
      <c r="C25" s="128">
        <f>'Equity Beta'!E25</f>
        <v>23217.6</v>
      </c>
      <c r="D25" s="129">
        <f t="shared" si="1"/>
        <v>-0.00227755193248136</v>
      </c>
      <c r="F25" s="126"/>
      <c r="G25" s="130" t="s">
        <v>422</v>
      </c>
      <c r="H25" s="131">
        <f>YEARFRAC(B2677,B8)</f>
        <v>10.7805555555556</v>
      </c>
      <c r="I25" s="126"/>
      <c r="L25" s="126"/>
    </row>
    <row r="26" s="117" customFormat="1" ht="14.25" customHeight="1" spans="1:12">
      <c r="A26" s="126"/>
      <c r="B26" s="127">
        <v>46280</v>
      </c>
      <c r="C26" s="128">
        <f>'Equity Beta'!E26</f>
        <v>23118.6</v>
      </c>
      <c r="D26" s="129">
        <f t="shared" si="1"/>
        <v>-0.00426400661567083</v>
      </c>
      <c r="F26" s="126"/>
      <c r="G26" s="130"/>
      <c r="H26" s="132"/>
      <c r="I26" s="126"/>
      <c r="L26" s="126"/>
    </row>
    <row r="27" s="117" customFormat="1" ht="14.25" customHeight="1" spans="1:12">
      <c r="A27" s="126"/>
      <c r="B27" s="127">
        <v>46276</v>
      </c>
      <c r="C27" s="128">
        <f>'Equity Beta'!E27</f>
        <v>23398.1</v>
      </c>
      <c r="D27" s="129">
        <f t="shared" ref="D24:D65" si="2">C27/C26-1</f>
        <v>0.0120898324292993</v>
      </c>
      <c r="F27" s="126"/>
      <c r="G27" s="130" t="s">
        <v>423</v>
      </c>
      <c r="H27" s="133">
        <f>RATE(H25,0,-C2677,C8)</f>
        <v>0.100520079852672</v>
      </c>
      <c r="I27" s="126"/>
      <c r="L27" s="126"/>
    </row>
    <row r="28" s="117" customFormat="1" ht="14.25" customHeight="1" spans="1:12">
      <c r="A28" s="126"/>
      <c r="B28" s="127">
        <v>46275</v>
      </c>
      <c r="C28" s="128">
        <f>'Equity Beta'!E28</f>
        <v>23477.8</v>
      </c>
      <c r="D28" s="129">
        <f t="shared" si="2"/>
        <v>0.00340625948260764</v>
      </c>
      <c r="F28" s="126"/>
      <c r="I28" s="126"/>
      <c r="L28" s="126"/>
    </row>
    <row r="29" s="117" customFormat="1" ht="14.25" customHeight="1" spans="1:12">
      <c r="A29" s="126"/>
      <c r="B29" s="127">
        <v>46274</v>
      </c>
      <c r="C29" s="128">
        <f>'Equity Beta'!E29</f>
        <v>23431.5</v>
      </c>
      <c r="D29" s="129">
        <f t="shared" si="2"/>
        <v>-0.0019720757481535</v>
      </c>
      <c r="F29" s="126"/>
      <c r="G29" s="126"/>
      <c r="H29" s="125"/>
      <c r="I29" s="126"/>
      <c r="L29" s="126"/>
    </row>
    <row r="30" s="117" customFormat="1" ht="14.25" customHeight="1" spans="1:12">
      <c r="A30" s="126"/>
      <c r="B30" s="127">
        <v>46273</v>
      </c>
      <c r="C30" s="128">
        <f>'Equity Beta'!E30</f>
        <v>23635.1</v>
      </c>
      <c r="D30" s="129">
        <f t="shared" si="2"/>
        <v>0.00868915775771928</v>
      </c>
      <c r="F30" s="126"/>
      <c r="G30" s="126"/>
      <c r="H30" s="125"/>
      <c r="I30" s="126"/>
      <c r="L30" s="126"/>
    </row>
    <row r="31" s="117" customFormat="1" ht="14.25" customHeight="1" spans="1:12">
      <c r="A31" s="126"/>
      <c r="B31" s="127">
        <v>46272</v>
      </c>
      <c r="C31" s="128">
        <f>'Equity Beta'!E31</f>
        <v>23779.15</v>
      </c>
      <c r="D31" s="129">
        <f t="shared" si="2"/>
        <v>0.00609474891157658</v>
      </c>
      <c r="F31" s="126"/>
      <c r="G31" s="126"/>
      <c r="H31" s="125"/>
      <c r="I31" s="126"/>
      <c r="L31" s="126"/>
    </row>
    <row r="32" s="117" customFormat="1" ht="14.25" customHeight="1" spans="1:12">
      <c r="A32" s="126"/>
      <c r="B32" s="127">
        <v>46269</v>
      </c>
      <c r="C32" s="128">
        <v>23897.7</v>
      </c>
      <c r="D32" s="129">
        <f t="shared" si="2"/>
        <v>0.00498545995125976</v>
      </c>
      <c r="F32" s="126"/>
      <c r="G32" s="126"/>
      <c r="H32" s="125"/>
      <c r="I32" s="126"/>
      <c r="L32" s="126"/>
    </row>
    <row r="33" s="117" customFormat="1" ht="14.25" customHeight="1" spans="1:12">
      <c r="A33" s="126"/>
      <c r="B33" s="127">
        <v>46268</v>
      </c>
      <c r="C33" s="128">
        <v>23873.45</v>
      </c>
      <c r="D33" s="129">
        <f t="shared" si="2"/>
        <v>-0.00101474200446072</v>
      </c>
      <c r="F33" s="126"/>
      <c r="G33" s="126"/>
      <c r="H33" s="125"/>
      <c r="I33" s="126"/>
      <c r="L33" s="126"/>
    </row>
    <row r="34" s="117" customFormat="1" ht="14.25" customHeight="1" spans="1:12">
      <c r="A34" s="126"/>
      <c r="B34" s="127">
        <v>46267</v>
      </c>
      <c r="C34" s="128">
        <v>23914.45</v>
      </c>
      <c r="D34" s="129">
        <f t="shared" si="2"/>
        <v>0.00171738898232143</v>
      </c>
      <c r="F34" s="126"/>
      <c r="G34" s="126"/>
      <c r="H34" s="125"/>
      <c r="I34" s="126"/>
      <c r="L34" s="126"/>
    </row>
    <row r="35" s="117" customFormat="1" ht="14.25" customHeight="1" spans="1:12">
      <c r="A35" s="126"/>
      <c r="B35" s="127">
        <v>46266</v>
      </c>
      <c r="C35" s="128">
        <v>24055.8</v>
      </c>
      <c r="D35" s="129">
        <f t="shared" si="2"/>
        <v>0.0059106523461756</v>
      </c>
      <c r="F35" s="126"/>
      <c r="G35" s="126"/>
      <c r="H35" s="125"/>
      <c r="I35" s="126"/>
      <c r="L35" s="126"/>
    </row>
    <row r="36" s="117" customFormat="1" ht="14.25" customHeight="1" spans="1:12">
      <c r="A36" s="126"/>
      <c r="B36" s="127">
        <v>46265</v>
      </c>
      <c r="C36" s="128">
        <v>24080.4</v>
      </c>
      <c r="D36" s="129">
        <f t="shared" si="2"/>
        <v>0.00102262240291329</v>
      </c>
      <c r="F36" s="126"/>
      <c r="G36" s="126"/>
      <c r="H36" s="125"/>
      <c r="I36" s="126"/>
      <c r="L36" s="126"/>
    </row>
    <row r="37" ht="14.25" customHeight="1" spans="1:12">
      <c r="B37" s="127">
        <v>46262</v>
      </c>
      <c r="C37" s="128">
        <v>24175.65</v>
      </c>
      <c r="D37" s="129">
        <f t="shared" si="2"/>
        <v>0.00395549907808834</v>
      </c>
      <c r="H37" s="125"/>
    </row>
    <row r="38" ht="14.25" customHeight="1" spans="1:12">
      <c r="B38" s="127">
        <v>46261</v>
      </c>
      <c r="C38" s="128">
        <v>24090.85</v>
      </c>
      <c r="D38" s="129">
        <f t="shared" si="2"/>
        <v>-0.00350766163474414</v>
      </c>
      <c r="H38" s="125"/>
    </row>
    <row r="39" ht="14.25" customHeight="1" spans="1:12">
      <c r="B39" s="127">
        <v>46260</v>
      </c>
      <c r="C39" s="128">
        <v>24207.75</v>
      </c>
      <c r="D39" s="129">
        <f t="shared" si="2"/>
        <v>0.00485246473246081</v>
      </c>
      <c r="H39" s="125"/>
    </row>
    <row r="40" ht="14.25" customHeight="1" spans="1:12">
      <c r="B40" s="127">
        <v>46259</v>
      </c>
      <c r="C40" s="128">
        <v>24334.55</v>
      </c>
      <c r="D40" s="129">
        <f t="shared" si="2"/>
        <v>0.00523799196538288</v>
      </c>
      <c r="H40" s="125"/>
    </row>
    <row r="41" ht="14.25" customHeight="1" spans="1:12">
      <c r="B41" s="127">
        <v>46258</v>
      </c>
      <c r="C41" s="128">
        <v>24219.05</v>
      </c>
      <c r="D41" s="129">
        <f t="shared" si="2"/>
        <v>-0.00474633802556446</v>
      </c>
      <c r="H41" s="125"/>
    </row>
    <row r="42" ht="14.25" customHeight="1" spans="1:12">
      <c r="B42" s="127">
        <v>46255</v>
      </c>
      <c r="C42" s="128">
        <v>24252</v>
      </c>
      <c r="D42" s="129">
        <f t="shared" si="2"/>
        <v>0.00136049927639603</v>
      </c>
      <c r="H42" s="125"/>
    </row>
    <row r="43" ht="14.25" customHeight="1" spans="1:12">
      <c r="B43" s="127">
        <v>46254</v>
      </c>
      <c r="C43" s="128">
        <v>24231.85</v>
      </c>
      <c r="D43" s="129">
        <f t="shared" si="2"/>
        <v>-0.000830859310572363</v>
      </c>
      <c r="H43" s="125"/>
    </row>
    <row r="44" ht="14.25" customHeight="1" spans="1:12">
      <c r="B44" s="127">
        <v>46253</v>
      </c>
      <c r="C44" s="128">
        <v>24078.3</v>
      </c>
      <c r="D44" s="129">
        <f t="shared" si="2"/>
        <v>-0.00633670148998111</v>
      </c>
      <c r="H44" s="125"/>
    </row>
    <row r="45" ht="14.25" customHeight="1" spans="1:12">
      <c r="B45" s="127">
        <v>46252</v>
      </c>
      <c r="C45" s="128">
        <v>24154.9</v>
      </c>
      <c r="D45" s="129">
        <f t="shared" si="2"/>
        <v>0.00318128771549486</v>
      </c>
      <c r="H45" s="125"/>
    </row>
    <row r="46" s="117" customFormat="1" ht="14.25" customHeight="1" spans="1:12">
      <c r="A46" s="126"/>
      <c r="B46" s="127">
        <v>46251</v>
      </c>
      <c r="C46" s="128">
        <v>24265.15</v>
      </c>
      <c r="D46" s="129">
        <f t="shared" si="2"/>
        <v>0.00456429130321379</v>
      </c>
      <c r="F46" s="126"/>
      <c r="G46" s="134"/>
      <c r="H46" s="125"/>
      <c r="I46" s="126"/>
      <c r="L46" s="126"/>
    </row>
    <row r="47" ht="14.25" customHeight="1" spans="1:12">
      <c r="B47" s="127">
        <v>46248</v>
      </c>
      <c r="C47" s="128">
        <v>24366</v>
      </c>
      <c r="D47" s="129">
        <f t="shared" si="2"/>
        <v>0.00415616635380367</v>
      </c>
      <c r="G47" s="134"/>
      <c r="H47" s="125"/>
    </row>
    <row r="48" ht="14.25" customHeight="1" spans="1:12">
      <c r="B48" s="127">
        <v>46247</v>
      </c>
      <c r="C48" s="128">
        <v>24395.85</v>
      </c>
      <c r="D48" s="129">
        <f t="shared" si="2"/>
        <v>0.0012250677173109</v>
      </c>
    </row>
    <row r="49" ht="14.25" customHeight="1" spans="2:8">
      <c r="B49" s="127">
        <v>46246</v>
      </c>
      <c r="C49" s="128">
        <v>24435.95</v>
      </c>
      <c r="D49" s="129">
        <f t="shared" si="2"/>
        <v>0.00164372219045461</v>
      </c>
    </row>
    <row r="50" ht="14.25" customHeight="1" spans="2:8">
      <c r="B50" s="127">
        <v>46245</v>
      </c>
      <c r="C50" s="128">
        <v>24471.7</v>
      </c>
      <c r="D50" s="129">
        <f t="shared" si="2"/>
        <v>0.00146300839541746</v>
      </c>
    </row>
    <row r="51" ht="14.25" customHeight="1" spans="2:8">
      <c r="B51" s="127">
        <v>46244</v>
      </c>
      <c r="C51" s="128">
        <v>24583.8</v>
      </c>
      <c r="D51" s="129">
        <f t="shared" si="2"/>
        <v>0.00458080149723972</v>
      </c>
    </row>
    <row r="52" ht="14.25" customHeight="1" spans="2:8">
      <c r="B52" s="127">
        <v>46241</v>
      </c>
      <c r="C52" s="128">
        <v>24570.65</v>
      </c>
      <c r="D52" s="129">
        <f t="shared" si="2"/>
        <v>-0.000534905100106453</v>
      </c>
    </row>
    <row r="53" ht="14.25" customHeight="1" spans="2:8">
      <c r="B53" s="127">
        <v>46240</v>
      </c>
      <c r="C53" s="128">
        <v>24636</v>
      </c>
      <c r="D53" s="129">
        <f t="shared" si="2"/>
        <v>0.00265967729791439</v>
      </c>
    </row>
    <row r="54" ht="14.25" customHeight="1" spans="2:8">
      <c r="B54" s="127">
        <v>46239</v>
      </c>
      <c r="C54" s="128">
        <v>24624.65</v>
      </c>
      <c r="D54" s="129">
        <f t="shared" si="2"/>
        <v>-0.000460707907127711</v>
      </c>
    </row>
    <row r="55" ht="14.25" customHeight="1" spans="2:8">
      <c r="B55" s="127">
        <v>46238</v>
      </c>
      <c r="C55" s="128">
        <v>24614.9</v>
      </c>
      <c r="D55" s="129">
        <f t="shared" si="2"/>
        <v>-0.000395944713935004</v>
      </c>
      <c r="G55" s="134"/>
      <c r="H55" s="125"/>
    </row>
    <row r="56" ht="14.25" customHeight="1" spans="2:8">
      <c r="B56" s="127">
        <v>46237</v>
      </c>
      <c r="C56" s="128">
        <v>24774.3</v>
      </c>
      <c r="D56" s="129">
        <f t="shared" si="2"/>
        <v>0.006475752491377</v>
      </c>
      <c r="G56" s="134"/>
      <c r="H56" s="125"/>
    </row>
    <row r="57" ht="14.25" customHeight="1" spans="2:8">
      <c r="B57" s="127">
        <v>46234</v>
      </c>
      <c r="C57" s="128">
        <v>24383.6</v>
      </c>
      <c r="D57" s="129">
        <f t="shared" si="2"/>
        <v>-0.0157703749450036</v>
      </c>
      <c r="G57" s="134"/>
      <c r="H57" s="125"/>
    </row>
    <row r="58" ht="14.25" customHeight="1" spans="2:8">
      <c r="B58" s="127">
        <v>46233</v>
      </c>
      <c r="C58" s="128">
        <v>24317.15</v>
      </c>
      <c r="D58" s="129">
        <f t="shared" si="2"/>
        <v>-0.00272519234239399</v>
      </c>
      <c r="G58" s="134"/>
      <c r="H58" s="125"/>
    </row>
    <row r="59" ht="14.25" customHeight="1" spans="2:8">
      <c r="B59" s="127">
        <v>46232</v>
      </c>
      <c r="C59" s="128">
        <v>24250.2</v>
      </c>
      <c r="D59" s="129">
        <f t="shared" si="2"/>
        <v>-0.0027532009302077</v>
      </c>
      <c r="G59" s="134"/>
      <c r="H59" s="125"/>
    </row>
    <row r="60" ht="14.25" customHeight="1" spans="2:8">
      <c r="B60" s="127">
        <v>46231</v>
      </c>
      <c r="C60" s="128">
        <v>23985.35</v>
      </c>
      <c r="D60" s="129">
        <f t="shared" si="2"/>
        <v>-0.0109215594098194</v>
      </c>
      <c r="G60" s="134"/>
      <c r="H60" s="125"/>
    </row>
    <row r="61" ht="14.25" customHeight="1" spans="2:8">
      <c r="B61" s="127">
        <v>46230</v>
      </c>
      <c r="C61" s="128">
        <v>23995.95</v>
      </c>
      <c r="D61" s="129">
        <f t="shared" si="2"/>
        <v>0.000441936432030499</v>
      </c>
      <c r="G61" s="134"/>
      <c r="H61" s="125"/>
    </row>
    <row r="62" ht="14.25" customHeight="1" spans="2:8">
      <c r="B62" s="127">
        <v>46227</v>
      </c>
      <c r="C62" s="128">
        <v>23767.45</v>
      </c>
      <c r="D62" s="129">
        <f t="shared" si="2"/>
        <v>-0.00952244024512472</v>
      </c>
      <c r="G62" s="134"/>
      <c r="H62" s="125"/>
    </row>
    <row r="63" ht="14.25" customHeight="1" spans="2:8">
      <c r="B63" s="127">
        <v>46226</v>
      </c>
      <c r="C63" s="128">
        <v>23869.6</v>
      </c>
      <c r="D63" s="129">
        <f t="shared" si="2"/>
        <v>0.0042978948099186</v>
      </c>
      <c r="G63" s="134"/>
      <c r="H63" s="121"/>
    </row>
    <row r="64" ht="14.25" customHeight="1" spans="2:8">
      <c r="B64" s="127">
        <v>46225</v>
      </c>
      <c r="C64" s="128">
        <v>23996.25</v>
      </c>
      <c r="D64" s="129">
        <f t="shared" si="2"/>
        <v>0.00530591212253251</v>
      </c>
      <c r="G64" s="134"/>
    </row>
    <row r="65" s="117" customFormat="1" ht="14.25" customHeight="1" spans="1:15">
      <c r="A65" s="126"/>
      <c r="B65" s="127">
        <v>46224</v>
      </c>
      <c r="C65" s="128">
        <v>24193.15</v>
      </c>
      <c r="D65" s="129">
        <f t="shared" si="2"/>
        <v>0.00820544876803675</v>
      </c>
      <c r="F65" s="126"/>
      <c r="G65" s="126"/>
      <c r="I65" s="126"/>
      <c r="L65" s="125"/>
    </row>
    <row r="66" s="117" customFormat="1" ht="14.25" customHeight="1" spans="1:15">
      <c r="A66" s="126"/>
      <c r="B66" s="127">
        <v>46223</v>
      </c>
      <c r="C66" s="128">
        <v>24238.5</v>
      </c>
      <c r="D66" s="129">
        <f t="shared" ref="D66:D129" si="3">C65/C66-1</f>
        <v>-0.00187099036656557</v>
      </c>
      <c r="F66" s="126"/>
      <c r="G66" s="121"/>
      <c r="H66" s="135"/>
      <c r="I66" s="126"/>
      <c r="L66" s="125"/>
    </row>
    <row r="67" s="117" customFormat="1" ht="14.25" customHeight="1" spans="1:15">
      <c r="A67" s="126"/>
      <c r="B67" s="127">
        <v>46220</v>
      </c>
      <c r="C67" s="128">
        <v>24334.3</v>
      </c>
      <c r="D67" s="129">
        <f t="shared" si="3"/>
        <v>-0.00393682990675714</v>
      </c>
      <c r="F67" s="126"/>
      <c r="G67" s="121"/>
      <c r="H67" s="135"/>
      <c r="I67" s="126"/>
      <c r="L67" s="125"/>
    </row>
    <row r="68" s="117" customFormat="1" ht="14.25" customHeight="1" spans="1:15">
      <c r="A68" s="126"/>
      <c r="B68" s="127">
        <v>46219</v>
      </c>
      <c r="C68" s="128">
        <v>24072.75</v>
      </c>
      <c r="D68" s="129">
        <f t="shared" si="3"/>
        <v>0.0108649821894049</v>
      </c>
      <c r="F68" s="126"/>
      <c r="G68" s="121"/>
      <c r="H68" s="135"/>
      <c r="I68" s="126"/>
      <c r="L68" s="125"/>
    </row>
    <row r="69" s="117" customFormat="1" ht="14.25" customHeight="1" spans="1:15">
      <c r="A69" s="126"/>
      <c r="B69" s="127">
        <v>46218</v>
      </c>
      <c r="C69" s="128">
        <v>24078.5</v>
      </c>
      <c r="D69" s="129">
        <f t="shared" si="3"/>
        <v>-0.000238802250970838</v>
      </c>
      <c r="F69" s="126"/>
      <c r="G69" s="121"/>
      <c r="H69" s="135"/>
      <c r="I69" s="126"/>
      <c r="L69" s="125"/>
    </row>
    <row r="70" s="117" customFormat="1" ht="14.25" customHeight="1" spans="1:15">
      <c r="A70" s="126"/>
      <c r="B70" s="127">
        <v>46217</v>
      </c>
      <c r="C70" s="128">
        <v>24052.05</v>
      </c>
      <c r="D70" s="129">
        <f t="shared" si="3"/>
        <v>0.00109969836250956</v>
      </c>
      <c r="F70" s="126"/>
      <c r="G70" s="121"/>
      <c r="H70" s="135"/>
      <c r="I70" s="126"/>
      <c r="L70" s="125"/>
    </row>
    <row r="71" s="117" customFormat="1" ht="14.25" customHeight="1" spans="1:15">
      <c r="A71" s="126"/>
      <c r="B71" s="127">
        <v>46216</v>
      </c>
      <c r="C71" s="128">
        <v>24211</v>
      </c>
      <c r="D71" s="129">
        <f t="shared" si="3"/>
        <v>-0.00656519763743757</v>
      </c>
      <c r="F71" s="126"/>
      <c r="G71" s="126"/>
      <c r="I71" s="126"/>
      <c r="L71" s="125"/>
    </row>
    <row r="72" ht="14.25" customHeight="1" spans="1:15">
      <c r="B72" s="127">
        <v>46213</v>
      </c>
      <c r="C72" s="128">
        <v>24206.9</v>
      </c>
      <c r="D72" s="129">
        <f t="shared" si="3"/>
        <v>0.000169373195245903</v>
      </c>
      <c r="L72" s="117"/>
      <c r="M72" s="117"/>
    </row>
    <row r="73" ht="14.25" customHeight="1" spans="1:15">
      <c r="B73" s="136">
        <v>46212</v>
      </c>
      <c r="C73" s="128">
        <v>23962.8</v>
      </c>
      <c r="D73" s="129">
        <f t="shared" si="3"/>
        <v>0.0101866225983609</v>
      </c>
    </row>
    <row r="74" ht="14.25" customHeight="1" spans="1:15">
      <c r="B74" s="136">
        <v>46211</v>
      </c>
      <c r="C74" s="128">
        <v>23882.05</v>
      </c>
      <c r="D74" s="129">
        <f t="shared" si="3"/>
        <v>0.00338120052508062</v>
      </c>
    </row>
    <row r="75" ht="14.25" customHeight="1" spans="1:15">
      <c r="B75" s="136">
        <v>46210</v>
      </c>
      <c r="C75" s="128">
        <v>24398.7</v>
      </c>
      <c r="D75" s="129">
        <f t="shared" si="3"/>
        <v>-0.021175308520536</v>
      </c>
    </row>
    <row r="76" ht="14.25" customHeight="1" spans="1:15">
      <c r="B76" s="136">
        <v>46209</v>
      </c>
      <c r="C76" s="128">
        <v>24379.35</v>
      </c>
      <c r="D76" s="129">
        <f t="shared" si="3"/>
        <v>0.000793704508118553</v>
      </c>
    </row>
    <row r="77" ht="14.25" customHeight="1" spans="1:15">
      <c r="B77" s="136">
        <v>46206</v>
      </c>
      <c r="C77" s="128">
        <v>24270.85</v>
      </c>
      <c r="D77" s="129">
        <f t="shared" si="3"/>
        <v>0.00447038319630333</v>
      </c>
      <c r="I77" s="137"/>
      <c r="J77" s="135"/>
      <c r="K77" s="135"/>
      <c r="L77" s="135"/>
      <c r="M77" s="135"/>
      <c r="O77" s="138"/>
    </row>
    <row r="78" ht="14.25" customHeight="1" spans="1:15">
      <c r="B78" s="136">
        <v>46205</v>
      </c>
      <c r="C78" s="128">
        <v>24175.7</v>
      </c>
      <c r="D78" s="129">
        <f t="shared" si="3"/>
        <v>0.00393577021554692</v>
      </c>
      <c r="I78" s="137"/>
      <c r="J78" s="135"/>
      <c r="K78" s="135"/>
      <c r="L78" s="135"/>
      <c r="M78" s="135"/>
      <c r="O78" s="138"/>
    </row>
    <row r="79" ht="14.25" customHeight="1" spans="1:15">
      <c r="B79" s="136">
        <v>46204</v>
      </c>
      <c r="C79" s="128">
        <v>24005.85</v>
      </c>
      <c r="D79" s="129">
        <f t="shared" si="3"/>
        <v>0.00707535871464682</v>
      </c>
      <c r="I79" s="137"/>
      <c r="J79" s="135"/>
      <c r="K79" s="135"/>
      <c r="L79" s="135"/>
      <c r="M79" s="135"/>
      <c r="O79" s="138"/>
    </row>
    <row r="80" ht="14.25" customHeight="1" spans="1:15">
      <c r="B80" s="136">
        <v>46203</v>
      </c>
      <c r="C80" s="128">
        <v>23865.75</v>
      </c>
      <c r="D80" s="129">
        <f t="shared" si="3"/>
        <v>0.00587033719870522</v>
      </c>
      <c r="I80" s="137"/>
      <c r="J80" s="135"/>
    </row>
    <row r="81" ht="14.25" customHeight="1" spans="2:4">
      <c r="B81" s="136">
        <v>46202</v>
      </c>
      <c r="C81" s="128">
        <v>23946.25</v>
      </c>
      <c r="D81" s="129">
        <f t="shared" si="3"/>
        <v>-0.00336169546379916</v>
      </c>
    </row>
    <row r="82" ht="14.25" customHeight="1" spans="2:4">
      <c r="B82" s="136">
        <v>46198</v>
      </c>
      <c r="C82" s="128">
        <v>24056</v>
      </c>
      <c r="D82" s="129">
        <f t="shared" si="3"/>
        <v>-0.00456227136681076</v>
      </c>
    </row>
    <row r="83" ht="14.25" customHeight="1" spans="2:4">
      <c r="B83" s="136">
        <v>46197</v>
      </c>
      <c r="C83" s="128">
        <v>24021.65</v>
      </c>
      <c r="D83" s="129">
        <f t="shared" si="3"/>
        <v>0.00142996005686524</v>
      </c>
    </row>
    <row r="84" ht="14.25" customHeight="1" spans="2:4">
      <c r="B84" s="136">
        <v>46196</v>
      </c>
      <c r="C84" s="128">
        <v>23824.1</v>
      </c>
      <c r="D84" s="129">
        <f t="shared" si="3"/>
        <v>0.00829202362313808</v>
      </c>
    </row>
    <row r="85" ht="14.25" customHeight="1" spans="2:4">
      <c r="B85" s="136">
        <v>46195</v>
      </c>
      <c r="C85" s="128">
        <v>24102.9</v>
      </c>
      <c r="D85" s="129">
        <f t="shared" si="3"/>
        <v>-0.0115670728418573</v>
      </c>
    </row>
    <row r="86" ht="14.25" customHeight="1" spans="2:4">
      <c r="B86" s="136">
        <v>46192</v>
      </c>
      <c r="C86" s="128">
        <v>24013.1</v>
      </c>
      <c r="D86" s="129">
        <f t="shared" si="3"/>
        <v>0.00373962545443951</v>
      </c>
    </row>
    <row r="87" ht="14.25" customHeight="1" spans="2:4">
      <c r="B87" s="136">
        <v>46191</v>
      </c>
      <c r="C87" s="128">
        <v>24168</v>
      </c>
      <c r="D87" s="129">
        <f t="shared" si="3"/>
        <v>-0.00640930155577635</v>
      </c>
    </row>
    <row r="88" ht="14.25" customHeight="1" spans="2:4">
      <c r="B88" s="136">
        <v>46190</v>
      </c>
      <c r="C88" s="128">
        <v>24085.7</v>
      </c>
      <c r="D88" s="129">
        <f t="shared" si="3"/>
        <v>0.00341696525324142</v>
      </c>
    </row>
    <row r="89" ht="14.25" customHeight="1" spans="2:4">
      <c r="B89" s="136">
        <v>46189</v>
      </c>
      <c r="C89" s="128">
        <v>23989.15</v>
      </c>
      <c r="D89" s="129">
        <f t="shared" si="3"/>
        <v>0.00402473618281585</v>
      </c>
    </row>
    <row r="90" ht="14.25" customHeight="1" spans="2:4">
      <c r="B90" s="136">
        <v>46188</v>
      </c>
      <c r="C90" s="128">
        <v>23853.9</v>
      </c>
      <c r="D90" s="129">
        <f t="shared" si="3"/>
        <v>0.00566993238003</v>
      </c>
    </row>
    <row r="91" ht="14.25" customHeight="1" spans="2:4">
      <c r="B91" s="136">
        <v>46185</v>
      </c>
      <c r="C91" s="128">
        <v>23622.9</v>
      </c>
      <c r="D91" s="129">
        <f t="shared" si="3"/>
        <v>0.00977864699084363</v>
      </c>
    </row>
    <row r="92" ht="14.25" customHeight="1" spans="2:4">
      <c r="B92" s="136">
        <v>46184</v>
      </c>
      <c r="C92" s="128">
        <v>23161.6</v>
      </c>
      <c r="D92" s="129">
        <f t="shared" si="3"/>
        <v>0.0199165860735011</v>
      </c>
    </row>
    <row r="93" ht="14.25" customHeight="1" spans="2:4">
      <c r="B93" s="136">
        <v>46183</v>
      </c>
      <c r="C93" s="128">
        <v>23214.95</v>
      </c>
      <c r="D93" s="129">
        <f t="shared" si="3"/>
        <v>-0.00229808808547949</v>
      </c>
    </row>
    <row r="94" ht="14.25" customHeight="1" spans="2:4">
      <c r="B94" s="136">
        <v>46182</v>
      </c>
      <c r="C94" s="128">
        <v>23242.1</v>
      </c>
      <c r="D94" s="129">
        <f t="shared" si="3"/>
        <v>-0.00116813885148059</v>
      </c>
    </row>
    <row r="95" ht="14.25" customHeight="1" spans="2:4">
      <c r="B95" s="136">
        <v>46181</v>
      </c>
      <c r="C95" s="128">
        <v>23123</v>
      </c>
      <c r="D95" s="129">
        <f t="shared" si="3"/>
        <v>0.00515071573757719</v>
      </c>
    </row>
    <row r="96" ht="14.25" customHeight="1" spans="2:4">
      <c r="B96" s="136">
        <v>46178</v>
      </c>
      <c r="C96" s="128">
        <v>23366.7</v>
      </c>
      <c r="D96" s="129">
        <f t="shared" si="3"/>
        <v>-0.0104293717127365</v>
      </c>
    </row>
    <row r="97" ht="14.25" customHeight="1" spans="2:4">
      <c r="B97" s="136">
        <v>46177</v>
      </c>
      <c r="C97" s="128">
        <v>23416.55</v>
      </c>
      <c r="D97" s="129">
        <f t="shared" si="3"/>
        <v>-0.00212883622907722</v>
      </c>
    </row>
    <row r="98" ht="14.25" customHeight="1" spans="2:4">
      <c r="B98" s="136">
        <v>46176</v>
      </c>
      <c r="C98" s="128">
        <v>23405.6</v>
      </c>
      <c r="D98" s="129">
        <f t="shared" si="3"/>
        <v>0.00046783675701545</v>
      </c>
    </row>
    <row r="99" ht="14.25" customHeight="1" spans="2:4">
      <c r="B99" s="136">
        <v>46175</v>
      </c>
      <c r="C99" s="128">
        <v>23483.55</v>
      </c>
      <c r="D99" s="129">
        <f t="shared" si="3"/>
        <v>-0.00331934481796836</v>
      </c>
    </row>
    <row r="100" ht="14.25" customHeight="1" spans="2:4">
      <c r="B100" s="136">
        <v>46174</v>
      </c>
      <c r="C100" s="128">
        <v>23382.6</v>
      </c>
      <c r="D100" s="129">
        <f t="shared" si="3"/>
        <v>0.00431731287367532</v>
      </c>
    </row>
    <row r="101" ht="14.25" customHeight="1" spans="2:4">
      <c r="B101" s="136">
        <v>46171</v>
      </c>
      <c r="C101" s="128">
        <v>23547.75</v>
      </c>
      <c r="D101" s="129">
        <f t="shared" si="3"/>
        <v>-0.0070134089244196</v>
      </c>
    </row>
    <row r="102" ht="14.25" customHeight="1" spans="2:4">
      <c r="B102" s="136">
        <v>46169</v>
      </c>
      <c r="C102" s="128">
        <v>23907.15</v>
      </c>
      <c r="D102" s="129">
        <f t="shared" si="3"/>
        <v>-0.0150331595359547</v>
      </c>
    </row>
    <row r="103" ht="14.25" customHeight="1" spans="2:4">
      <c r="B103" s="136">
        <v>46168</v>
      </c>
      <c r="C103" s="128">
        <v>23913.7</v>
      </c>
      <c r="D103" s="129">
        <f t="shared" si="3"/>
        <v>-0.000273901571065882</v>
      </c>
    </row>
    <row r="104" ht="14.25" customHeight="1" spans="2:4">
      <c r="B104" s="136">
        <v>46167</v>
      </c>
      <c r="C104" s="128">
        <v>24031.7</v>
      </c>
      <c r="D104" s="129">
        <f t="shared" si="3"/>
        <v>-0.00491018113574981</v>
      </c>
    </row>
    <row r="105" ht="14.25" customHeight="1" spans="2:4">
      <c r="B105" s="136">
        <v>46164</v>
      </c>
      <c r="C105" s="128">
        <v>23719.3</v>
      </c>
      <c r="D105" s="129">
        <f t="shared" si="3"/>
        <v>0.0131707090850068</v>
      </c>
    </row>
    <row r="106" ht="14.25" customHeight="1" spans="2:4">
      <c r="B106" s="136">
        <v>46163</v>
      </c>
      <c r="C106" s="128">
        <v>23654.7</v>
      </c>
      <c r="D106" s="129">
        <f t="shared" si="3"/>
        <v>0.00273095832963421</v>
      </c>
    </row>
    <row r="107" ht="14.25" customHeight="1" spans="2:4">
      <c r="B107" s="136">
        <v>46162</v>
      </c>
      <c r="C107" s="128">
        <v>23659</v>
      </c>
      <c r="D107" s="129">
        <f t="shared" si="3"/>
        <v>-0.000181749017287292</v>
      </c>
    </row>
    <row r="108" ht="14.25" customHeight="1" spans="2:4">
      <c r="B108" s="136">
        <v>46161</v>
      </c>
      <c r="C108" s="128">
        <v>23618</v>
      </c>
      <c r="D108" s="129">
        <f t="shared" si="3"/>
        <v>0.00173596409518173</v>
      </c>
    </row>
    <row r="109" ht="14.25" customHeight="1" spans="2:4">
      <c r="B109" s="136">
        <v>46160</v>
      </c>
      <c r="C109" s="128">
        <v>23649.95</v>
      </c>
      <c r="D109" s="129">
        <f t="shared" si="3"/>
        <v>-0.00135095423034726</v>
      </c>
    </row>
    <row r="110" ht="14.25" customHeight="1" spans="2:4">
      <c r="B110" s="136">
        <v>46157</v>
      </c>
      <c r="C110" s="128">
        <v>23643.5</v>
      </c>
      <c r="D110" s="129">
        <f t="shared" si="3"/>
        <v>0.000272802250089965</v>
      </c>
    </row>
    <row r="111" ht="14.25" customHeight="1" spans="2:4">
      <c r="B111" s="136">
        <v>46156</v>
      </c>
      <c r="C111" s="128">
        <v>23689.6</v>
      </c>
      <c r="D111" s="129">
        <f t="shared" si="3"/>
        <v>-0.00194600162096437</v>
      </c>
    </row>
    <row r="112" ht="14.25" customHeight="1" spans="2:4">
      <c r="B112" s="136">
        <v>46155</v>
      </c>
      <c r="C112" s="128">
        <v>23412.6</v>
      </c>
      <c r="D112" s="129">
        <f t="shared" si="3"/>
        <v>0.0118312361719757</v>
      </c>
    </row>
    <row r="113" ht="14.25" customHeight="1" spans="2:4">
      <c r="B113" s="136">
        <v>46154</v>
      </c>
      <c r="C113" s="128">
        <v>23379.55</v>
      </c>
      <c r="D113" s="129">
        <f t="shared" si="3"/>
        <v>0.00141362857711114</v>
      </c>
    </row>
    <row r="114" ht="14.25" customHeight="1" spans="2:4">
      <c r="B114" s="136">
        <v>46153</v>
      </c>
      <c r="C114" s="128">
        <v>23815.85</v>
      </c>
      <c r="D114" s="129">
        <f t="shared" si="3"/>
        <v>-0.0183197324470887</v>
      </c>
    </row>
    <row r="115" ht="14.25" customHeight="1" spans="2:4">
      <c r="B115" s="136">
        <v>46150</v>
      </c>
      <c r="C115" s="128">
        <v>24176.15</v>
      </c>
      <c r="D115" s="129">
        <f t="shared" si="3"/>
        <v>-0.0149031173284416</v>
      </c>
    </row>
    <row r="116" ht="14.25" customHeight="1" spans="2:4">
      <c r="B116" s="136">
        <v>46149</v>
      </c>
      <c r="C116" s="128">
        <v>24326.65</v>
      </c>
      <c r="D116" s="129">
        <f t="shared" si="3"/>
        <v>-0.00618663071158587</v>
      </c>
    </row>
    <row r="117" ht="14.25" customHeight="1" spans="2:4">
      <c r="B117" s="136">
        <v>46148</v>
      </c>
      <c r="C117" s="128">
        <v>24330.95</v>
      </c>
      <c r="D117" s="129">
        <f t="shared" si="3"/>
        <v>-0.000176729638587836</v>
      </c>
    </row>
    <row r="118" ht="14.25" customHeight="1" spans="2:4">
      <c r="B118" s="136">
        <v>46147</v>
      </c>
      <c r="C118" s="128">
        <v>24032.8</v>
      </c>
      <c r="D118" s="129">
        <f t="shared" si="3"/>
        <v>0.0124059618521355</v>
      </c>
    </row>
    <row r="119" ht="14.25" customHeight="1" spans="2:4">
      <c r="B119" s="136">
        <v>46146</v>
      </c>
      <c r="C119" s="128">
        <v>24119.3</v>
      </c>
      <c r="D119" s="129">
        <f t="shared" si="3"/>
        <v>-0.00358633957038557</v>
      </c>
    </row>
    <row r="120" ht="14.25" customHeight="1" spans="2:4">
      <c r="B120" s="136">
        <v>46142</v>
      </c>
      <c r="C120" s="128">
        <v>23997.55</v>
      </c>
      <c r="D120" s="129">
        <f t="shared" si="3"/>
        <v>0.00507343457978005</v>
      </c>
    </row>
    <row r="121" ht="14.25" customHeight="1" spans="2:4">
      <c r="B121" s="136">
        <v>46141</v>
      </c>
      <c r="C121" s="128">
        <v>24177.65</v>
      </c>
      <c r="D121" s="129">
        <f t="shared" si="3"/>
        <v>-0.00744902833815542</v>
      </c>
    </row>
    <row r="122" ht="14.25" customHeight="1" spans="2:4">
      <c r="B122" s="136">
        <v>46140</v>
      </c>
      <c r="C122" s="128">
        <v>23995.7</v>
      </c>
      <c r="D122" s="129">
        <f t="shared" si="3"/>
        <v>0.0075826085506987</v>
      </c>
    </row>
    <row r="123" ht="14.25" customHeight="1" spans="2:4">
      <c r="B123" s="136">
        <v>46139</v>
      </c>
      <c r="C123" s="128">
        <v>24092.7</v>
      </c>
      <c r="D123" s="129">
        <f t="shared" si="3"/>
        <v>-0.0040261157944107</v>
      </c>
    </row>
    <row r="124" ht="14.25" customHeight="1" spans="2:4">
      <c r="B124" s="136">
        <v>46136</v>
      </c>
      <c r="C124" s="128">
        <v>23897.95</v>
      </c>
      <c r="D124" s="129">
        <f t="shared" si="3"/>
        <v>0.00814923455777583</v>
      </c>
    </row>
    <row r="125" ht="14.25" customHeight="1" spans="2:4">
      <c r="B125" s="136">
        <v>46135</v>
      </c>
      <c r="C125" s="128">
        <v>24173.05</v>
      </c>
      <c r="D125" s="129">
        <f t="shared" si="3"/>
        <v>-0.0113804422693867</v>
      </c>
    </row>
    <row r="126" ht="14.25" customHeight="1" spans="2:4">
      <c r="B126" s="136">
        <v>46134</v>
      </c>
      <c r="C126" s="128">
        <v>24378.1</v>
      </c>
      <c r="D126" s="129">
        <f t="shared" si="3"/>
        <v>-0.0084112379553779</v>
      </c>
    </row>
    <row r="127" ht="14.25" customHeight="1" spans="2:4">
      <c r="B127" s="136">
        <v>46133</v>
      </c>
      <c r="C127" s="128">
        <v>24576.6</v>
      </c>
      <c r="D127" s="129">
        <f t="shared" si="3"/>
        <v>-0.00807678848986437</v>
      </c>
    </row>
    <row r="128" ht="14.25" customHeight="1" spans="2:4">
      <c r="B128" s="136">
        <v>46132</v>
      </c>
      <c r="C128" s="128">
        <v>24364.85</v>
      </c>
      <c r="D128" s="129">
        <f t="shared" si="3"/>
        <v>0.00869079842477993</v>
      </c>
    </row>
    <row r="129" ht="14.25" customHeight="1" spans="2:4">
      <c r="B129" s="136">
        <v>46129</v>
      </c>
      <c r="C129" s="128">
        <v>24353.55</v>
      </c>
      <c r="D129" s="129">
        <f t="shared" si="3"/>
        <v>0.00046399806188413</v>
      </c>
    </row>
    <row r="130" ht="14.25" customHeight="1" spans="2:4">
      <c r="B130" s="136">
        <v>46128</v>
      </c>
      <c r="C130" s="128">
        <v>24196.75</v>
      </c>
      <c r="D130" s="129">
        <f t="shared" ref="D130:D193" si="4">C129/C130-1</f>
        <v>0.00648020911899327</v>
      </c>
    </row>
    <row r="131" ht="14.25" customHeight="1" spans="2:4">
      <c r="B131" s="136">
        <v>46127</v>
      </c>
      <c r="C131" s="128">
        <v>24231.3</v>
      </c>
      <c r="D131" s="129">
        <f t="shared" si="4"/>
        <v>-0.0014258417831482</v>
      </c>
    </row>
    <row r="132" ht="14.25" customHeight="1" spans="2:4">
      <c r="B132" s="136">
        <v>46125</v>
      </c>
      <c r="C132" s="128">
        <v>23842.65</v>
      </c>
      <c r="D132" s="129">
        <f t="shared" si="4"/>
        <v>0.0163006209460776</v>
      </c>
    </row>
    <row r="133" ht="14.25" customHeight="1" spans="2:4">
      <c r="B133" s="136">
        <v>46122</v>
      </c>
      <c r="C133" s="128">
        <v>24050.6</v>
      </c>
      <c r="D133" s="129">
        <f t="shared" si="4"/>
        <v>-0.00864635393711577</v>
      </c>
    </row>
    <row r="134" ht="14.25" customHeight="1" spans="2:4">
      <c r="B134" s="136">
        <v>46121</v>
      </c>
      <c r="C134" s="128">
        <v>23775.1</v>
      </c>
      <c r="D134" s="129">
        <f t="shared" si="4"/>
        <v>0.0115877535741176</v>
      </c>
    </row>
    <row r="135" ht="14.25" customHeight="1" spans="2:4">
      <c r="B135" s="136">
        <v>46120</v>
      </c>
      <c r="C135" s="128">
        <v>23997.35</v>
      </c>
      <c r="D135" s="129">
        <f t="shared" si="4"/>
        <v>-0.00926143928392098</v>
      </c>
    </row>
    <row r="136" ht="14.25" customHeight="1" spans="2:4">
      <c r="B136" s="136">
        <v>46119</v>
      </c>
      <c r="C136" s="128">
        <v>23123.65</v>
      </c>
      <c r="D136" s="129">
        <f t="shared" si="4"/>
        <v>0.0377838273801929</v>
      </c>
    </row>
    <row r="137" ht="14.25" customHeight="1" spans="2:4">
      <c r="B137" s="136">
        <v>46118</v>
      </c>
      <c r="C137" s="128">
        <v>22968.25</v>
      </c>
      <c r="D137" s="129">
        <f t="shared" si="4"/>
        <v>0.00676586156977566</v>
      </c>
    </row>
    <row r="138" ht="14.25" customHeight="1" spans="2:4">
      <c r="B138" s="136">
        <v>46114</v>
      </c>
      <c r="C138" s="128">
        <v>22713.1</v>
      </c>
      <c r="D138" s="129">
        <f t="shared" si="4"/>
        <v>0.0112336052762503</v>
      </c>
    </row>
    <row r="139" ht="14.25" customHeight="1" spans="2:4">
      <c r="B139" s="136">
        <v>46113</v>
      </c>
      <c r="C139" s="128">
        <v>22679.4</v>
      </c>
      <c r="D139" s="129">
        <f t="shared" si="4"/>
        <v>0.00148592996287378</v>
      </c>
    </row>
    <row r="140" ht="14.25" customHeight="1" spans="2:4">
      <c r="B140" s="136">
        <v>46111</v>
      </c>
      <c r="C140" s="128">
        <v>22331.4</v>
      </c>
      <c r="D140" s="129">
        <f t="shared" si="4"/>
        <v>0.0155834385663236</v>
      </c>
    </row>
    <row r="141" ht="14.25" customHeight="1" spans="2:4">
      <c r="B141" s="136">
        <v>46108</v>
      </c>
      <c r="C141" s="128">
        <v>22819.6</v>
      </c>
      <c r="D141" s="129">
        <f t="shared" si="4"/>
        <v>-0.0213938894634436</v>
      </c>
    </row>
    <row r="142" ht="14.25" customHeight="1" spans="2:4">
      <c r="B142" s="136">
        <v>46106</v>
      </c>
      <c r="C142" s="128">
        <v>23306.45</v>
      </c>
      <c r="D142" s="129">
        <f t="shared" si="4"/>
        <v>-0.020889067189555</v>
      </c>
    </row>
    <row r="143" ht="14.25" customHeight="1" spans="2:4">
      <c r="B143" s="136">
        <v>46105</v>
      </c>
      <c r="C143" s="128">
        <v>22912.4</v>
      </c>
      <c r="D143" s="129">
        <f t="shared" si="4"/>
        <v>0.0171981110664967</v>
      </c>
    </row>
    <row r="144" ht="14.25" customHeight="1" spans="2:4">
      <c r="B144" s="136">
        <v>46104</v>
      </c>
      <c r="C144" s="128">
        <v>22512.65</v>
      </c>
      <c r="D144" s="129">
        <f t="shared" si="4"/>
        <v>0.0177566834646299</v>
      </c>
    </row>
    <row r="145" ht="14.25" customHeight="1" spans="2:4">
      <c r="B145" s="136">
        <v>46101</v>
      </c>
      <c r="C145" s="128">
        <v>23114.5</v>
      </c>
      <c r="D145" s="129">
        <f t="shared" si="4"/>
        <v>-0.0260377685002919</v>
      </c>
    </row>
    <row r="146" ht="14.25" customHeight="1" spans="2:4">
      <c r="B146" s="136">
        <v>46100</v>
      </c>
      <c r="C146" s="128">
        <v>23002.15</v>
      </c>
      <c r="D146" s="129">
        <f t="shared" si="4"/>
        <v>0.00488432603039279</v>
      </c>
    </row>
    <row r="147" ht="14.25" customHeight="1" spans="2:4">
      <c r="B147" s="136">
        <v>46099</v>
      </c>
      <c r="C147" s="128">
        <v>23777.8</v>
      </c>
      <c r="D147" s="129">
        <f t="shared" si="4"/>
        <v>-0.032620763905828</v>
      </c>
    </row>
    <row r="148" ht="14.25" customHeight="1" spans="2:4">
      <c r="B148" s="136">
        <v>46098</v>
      </c>
      <c r="C148" s="128">
        <v>23581.15</v>
      </c>
      <c r="D148" s="129">
        <f t="shared" si="4"/>
        <v>0.0083392879482127</v>
      </c>
    </row>
    <row r="149" ht="14.25" customHeight="1" spans="2:4">
      <c r="B149" s="136">
        <v>46097</v>
      </c>
      <c r="C149" s="128">
        <v>23408.8</v>
      </c>
      <c r="D149" s="129">
        <f t="shared" si="4"/>
        <v>0.007362615768429</v>
      </c>
    </row>
    <row r="150" ht="14.25" customHeight="1" spans="2:4">
      <c r="B150" s="136">
        <v>46094</v>
      </c>
      <c r="C150" s="128">
        <v>23151.1</v>
      </c>
      <c r="D150" s="129">
        <f t="shared" si="4"/>
        <v>0.011131220546756</v>
      </c>
    </row>
    <row r="151" ht="14.25" customHeight="1" spans="2:4">
      <c r="B151" s="136">
        <v>46093</v>
      </c>
      <c r="C151" s="128">
        <v>23639.15</v>
      </c>
      <c r="D151" s="129">
        <f t="shared" si="4"/>
        <v>-0.0206458354044035</v>
      </c>
    </row>
    <row r="152" ht="14.25" customHeight="1" spans="2:4">
      <c r="B152" s="136">
        <v>46092</v>
      </c>
      <c r="C152" s="128">
        <v>23866.85</v>
      </c>
      <c r="D152" s="129">
        <f t="shared" si="4"/>
        <v>-0.00954042950787382</v>
      </c>
    </row>
    <row r="153" ht="14.25" customHeight="1" spans="2:4">
      <c r="B153" s="136">
        <v>46091</v>
      </c>
      <c r="C153" s="128">
        <v>24261.6</v>
      </c>
      <c r="D153" s="129">
        <f t="shared" si="4"/>
        <v>-0.0162705674811224</v>
      </c>
    </row>
    <row r="154" ht="14.25" customHeight="1" spans="2:4">
      <c r="B154" s="136">
        <v>46090</v>
      </c>
      <c r="C154" s="128">
        <v>24028.05</v>
      </c>
      <c r="D154" s="129">
        <f t="shared" si="4"/>
        <v>0.00971988987870431</v>
      </c>
    </row>
    <row r="155" ht="14.25" customHeight="1" spans="2:4">
      <c r="B155" s="136">
        <v>46087</v>
      </c>
      <c r="C155" s="128">
        <v>24450.45</v>
      </c>
      <c r="D155" s="129">
        <f t="shared" si="4"/>
        <v>-0.0172757556609389</v>
      </c>
    </row>
    <row r="156" ht="14.25" customHeight="1" spans="2:4">
      <c r="B156" s="136">
        <v>46086</v>
      </c>
      <c r="C156" s="128">
        <v>24765.9</v>
      </c>
      <c r="D156" s="129">
        <f t="shared" si="4"/>
        <v>-0.0127372718132593</v>
      </c>
    </row>
    <row r="157" ht="14.25" customHeight="1" spans="2:4">
      <c r="B157" s="136">
        <v>46085</v>
      </c>
      <c r="C157" s="128">
        <v>24480.5</v>
      </c>
      <c r="D157" s="129">
        <f t="shared" si="4"/>
        <v>0.0116582586139991</v>
      </c>
    </row>
    <row r="158" ht="14.25" customHeight="1" spans="2:4">
      <c r="B158" s="136">
        <v>46083</v>
      </c>
      <c r="C158" s="128">
        <v>24865.7</v>
      </c>
      <c r="D158" s="129">
        <f t="shared" si="4"/>
        <v>-0.0154912188275416</v>
      </c>
    </row>
    <row r="159" ht="14.25" customHeight="1" spans="2:4">
      <c r="B159" s="136">
        <v>46080</v>
      </c>
      <c r="C159" s="128">
        <v>25178.65</v>
      </c>
      <c r="D159" s="129">
        <f t="shared" si="4"/>
        <v>-0.0124291810720591</v>
      </c>
    </row>
    <row r="160" ht="14.25" customHeight="1" spans="2:4">
      <c r="B160" s="136">
        <v>46079</v>
      </c>
      <c r="C160" s="128">
        <v>25496.55</v>
      </c>
      <c r="D160" s="129">
        <f t="shared" si="4"/>
        <v>-0.0124683535615602</v>
      </c>
    </row>
    <row r="161" ht="14.25" customHeight="1" spans="2:4">
      <c r="B161" s="136">
        <v>46078</v>
      </c>
      <c r="C161" s="128">
        <v>25482.5</v>
      </c>
      <c r="D161" s="129">
        <f t="shared" si="4"/>
        <v>0.000551358775630284</v>
      </c>
    </row>
    <row r="162" ht="14.25" customHeight="1" spans="2:4">
      <c r="B162" s="136">
        <v>46077</v>
      </c>
      <c r="C162" s="128">
        <v>25424.65</v>
      </c>
      <c r="D162" s="129">
        <f t="shared" si="4"/>
        <v>0.00227535088978614</v>
      </c>
    </row>
    <row r="163" ht="14.25" customHeight="1" spans="2:4">
      <c r="B163" s="136">
        <v>46076</v>
      </c>
      <c r="C163" s="128">
        <v>25713</v>
      </c>
      <c r="D163" s="129">
        <f t="shared" si="4"/>
        <v>-0.0112141718197021</v>
      </c>
    </row>
    <row r="164" ht="14.25" customHeight="1" spans="2:4">
      <c r="B164" s="136">
        <v>46073</v>
      </c>
      <c r="C164" s="128">
        <v>25571.25</v>
      </c>
      <c r="D164" s="129">
        <f t="shared" si="4"/>
        <v>0.00554333479982394</v>
      </c>
    </row>
    <row r="165" ht="14.25" customHeight="1" spans="2:4">
      <c r="B165" s="136">
        <v>46072</v>
      </c>
      <c r="C165" s="128">
        <v>25454.35</v>
      </c>
      <c r="D165" s="129">
        <f t="shared" si="4"/>
        <v>0.00459253526411008</v>
      </c>
    </row>
    <row r="166" ht="14.25" customHeight="1" spans="2:4">
      <c r="B166" s="136">
        <v>46071</v>
      </c>
      <c r="C166" s="128">
        <v>25819.35</v>
      </c>
      <c r="D166" s="129">
        <f t="shared" si="4"/>
        <v>-0.014136684308474</v>
      </c>
    </row>
    <row r="167" ht="14.25" customHeight="1" spans="2:4">
      <c r="B167" s="136">
        <v>46070</v>
      </c>
      <c r="C167" s="128">
        <v>25725.4</v>
      </c>
      <c r="D167" s="129">
        <f t="shared" si="4"/>
        <v>0.00365203262145575</v>
      </c>
    </row>
    <row r="168" ht="14.25" customHeight="1" spans="2:4">
      <c r="B168" s="136">
        <v>46069</v>
      </c>
      <c r="C168" s="128">
        <v>25682.75</v>
      </c>
      <c r="D168" s="129">
        <f t="shared" si="4"/>
        <v>0.00166064771101238</v>
      </c>
    </row>
    <row r="169" ht="14.25" customHeight="1" spans="2:4">
      <c r="B169" s="136">
        <v>46066</v>
      </c>
      <c r="C169" s="128">
        <v>25471.1</v>
      </c>
      <c r="D169" s="129">
        <f t="shared" si="4"/>
        <v>0.00830941733965163</v>
      </c>
    </row>
    <row r="170" ht="14.25" customHeight="1" spans="2:4">
      <c r="B170" s="136">
        <v>46065</v>
      </c>
      <c r="C170" s="128">
        <v>25807.2</v>
      </c>
      <c r="D170" s="129">
        <f t="shared" si="4"/>
        <v>-0.0130234973185779</v>
      </c>
    </row>
    <row r="171" ht="14.25" customHeight="1" spans="2:4">
      <c r="B171" s="136">
        <v>46064</v>
      </c>
      <c r="C171" s="128">
        <v>25953.85</v>
      </c>
      <c r="D171" s="129">
        <f t="shared" si="4"/>
        <v>-0.00565041410041278</v>
      </c>
    </row>
    <row r="172" ht="14.25" customHeight="1" spans="2:4">
      <c r="B172" s="136">
        <v>46063</v>
      </c>
      <c r="C172" s="128">
        <v>25935.15</v>
      </c>
      <c r="D172" s="129">
        <f t="shared" si="4"/>
        <v>0.00072102918240291</v>
      </c>
    </row>
    <row r="173" ht="14.25" customHeight="1" spans="2:4">
      <c r="B173" s="136">
        <v>46062</v>
      </c>
      <c r="C173" s="128">
        <v>25867.3</v>
      </c>
      <c r="D173" s="129">
        <f t="shared" si="4"/>
        <v>0.00262300278730287</v>
      </c>
    </row>
    <row r="174" ht="14.25" customHeight="1" spans="2:4">
      <c r="B174" s="136">
        <v>46059</v>
      </c>
      <c r="C174" s="128">
        <v>25693.7</v>
      </c>
      <c r="D174" s="129">
        <f t="shared" si="4"/>
        <v>0.00675652008079797</v>
      </c>
    </row>
    <row r="175" ht="14.25" customHeight="1" spans="2:4">
      <c r="B175" s="136">
        <v>46058</v>
      </c>
      <c r="C175" s="128">
        <v>25642.8</v>
      </c>
      <c r="D175" s="129">
        <f t="shared" si="4"/>
        <v>0.00198496264058523</v>
      </c>
    </row>
    <row r="176" ht="14.25" customHeight="1" spans="2:4">
      <c r="B176" s="136">
        <v>46057</v>
      </c>
      <c r="C176" s="128">
        <v>25776</v>
      </c>
      <c r="D176" s="129">
        <f t="shared" si="4"/>
        <v>-0.00516759776536313</v>
      </c>
    </row>
    <row r="177" ht="14.25" customHeight="1" spans="2:4">
      <c r="B177" s="136">
        <v>46056</v>
      </c>
      <c r="C177" s="128">
        <v>25727.55</v>
      </c>
      <c r="D177" s="129">
        <f t="shared" si="4"/>
        <v>0.0018831952517826</v>
      </c>
    </row>
    <row r="178" ht="14.25" customHeight="1" spans="2:4">
      <c r="B178" s="136">
        <v>46055</v>
      </c>
      <c r="C178" s="128">
        <v>25088.4</v>
      </c>
      <c r="D178" s="129">
        <f t="shared" si="4"/>
        <v>0.025475917156933</v>
      </c>
    </row>
    <row r="179" ht="14.25" customHeight="1" spans="2:4">
      <c r="B179" s="136">
        <v>46054</v>
      </c>
      <c r="C179" s="128">
        <v>24825.45</v>
      </c>
      <c r="D179" s="129">
        <f t="shared" si="4"/>
        <v>0.0105919530159575</v>
      </c>
    </row>
    <row r="180" ht="14.25" customHeight="1" spans="2:4">
      <c r="B180" s="136">
        <v>46052</v>
      </c>
      <c r="C180" s="128">
        <v>25320.65</v>
      </c>
      <c r="D180" s="129">
        <f t="shared" si="4"/>
        <v>-0.0195571598675389</v>
      </c>
    </row>
    <row r="181" ht="14.25" customHeight="1" spans="2:4">
      <c r="B181" s="136">
        <v>46051</v>
      </c>
      <c r="C181" s="128">
        <v>25418.9</v>
      </c>
      <c r="D181" s="129">
        <f t="shared" si="4"/>
        <v>-0.00386523413680373</v>
      </c>
    </row>
    <row r="182" ht="14.25" customHeight="1" spans="2:4">
      <c r="B182" s="136">
        <v>46050</v>
      </c>
      <c r="C182" s="128">
        <v>25342.75</v>
      </c>
      <c r="D182" s="129">
        <f t="shared" si="4"/>
        <v>0.00300480413530502</v>
      </c>
    </row>
    <row r="183" ht="14.25" customHeight="1" spans="2:4">
      <c r="B183" s="136">
        <v>46049</v>
      </c>
      <c r="C183" s="128">
        <v>25175.4</v>
      </c>
      <c r="D183" s="129">
        <f t="shared" si="4"/>
        <v>0.00664736210745409</v>
      </c>
    </row>
    <row r="184" ht="14.25" customHeight="1" spans="2:4">
      <c r="B184" s="136">
        <v>46045</v>
      </c>
      <c r="C184" s="128">
        <v>25048.65</v>
      </c>
      <c r="D184" s="129">
        <f t="shared" si="4"/>
        <v>0.00506015294237416</v>
      </c>
    </row>
    <row r="185" ht="14.25" customHeight="1" spans="2:4">
      <c r="B185" s="136">
        <v>46044</v>
      </c>
      <c r="C185" s="128">
        <v>25289.9</v>
      </c>
      <c r="D185" s="129">
        <f t="shared" si="4"/>
        <v>-0.0095393813340503</v>
      </c>
    </row>
    <row r="186" ht="14.25" customHeight="1" spans="2:4">
      <c r="B186" s="136">
        <v>46043</v>
      </c>
      <c r="C186" s="128">
        <v>25157.5</v>
      </c>
      <c r="D186" s="129">
        <f t="shared" si="4"/>
        <v>0.00526284408228173</v>
      </c>
    </row>
    <row r="187" ht="14.25" customHeight="1" spans="2:4">
      <c r="B187" s="136">
        <v>46042</v>
      </c>
      <c r="C187" s="128">
        <v>25232.5</v>
      </c>
      <c r="D187" s="129">
        <f t="shared" si="4"/>
        <v>-0.00297235707916377</v>
      </c>
    </row>
    <row r="188" ht="14.25" customHeight="1" spans="2:4">
      <c r="B188" s="136">
        <v>46041</v>
      </c>
      <c r="C188" s="128">
        <v>25585.5</v>
      </c>
      <c r="D188" s="129">
        <f t="shared" si="4"/>
        <v>-0.0137968771374412</v>
      </c>
    </row>
    <row r="189" ht="14.25" customHeight="1" spans="2:4">
      <c r="B189" s="136">
        <v>46038</v>
      </c>
      <c r="C189" s="128">
        <v>25694.35</v>
      </c>
      <c r="D189" s="129">
        <f t="shared" si="4"/>
        <v>-0.0042363398957358</v>
      </c>
    </row>
    <row r="190" ht="14.25" customHeight="1" spans="2:4">
      <c r="B190" s="136">
        <v>46036</v>
      </c>
      <c r="C190" s="128">
        <v>25665.6</v>
      </c>
      <c r="D190" s="129">
        <f t="shared" si="4"/>
        <v>0.00112017642291629</v>
      </c>
    </row>
    <row r="191" ht="14.25" customHeight="1" spans="2:4">
      <c r="B191" s="136">
        <v>46035</v>
      </c>
      <c r="C191" s="128">
        <v>25732.3</v>
      </c>
      <c r="D191" s="129">
        <f t="shared" si="4"/>
        <v>-0.00259207299774988</v>
      </c>
    </row>
    <row r="192" ht="14.25" customHeight="1" spans="2:4">
      <c r="B192" s="136">
        <v>46034</v>
      </c>
      <c r="C192" s="128">
        <v>25790.25</v>
      </c>
      <c r="D192" s="129">
        <f t="shared" si="4"/>
        <v>-0.00224697317784828</v>
      </c>
    </row>
    <row r="193" ht="14.25" customHeight="1" spans="2:4">
      <c r="B193" s="136">
        <v>46031</v>
      </c>
      <c r="C193" s="128">
        <v>25683.3</v>
      </c>
      <c r="D193" s="129">
        <f t="shared" si="4"/>
        <v>0.00416418450900014</v>
      </c>
    </row>
    <row r="194" ht="14.25" customHeight="1" spans="2:4">
      <c r="B194" s="136">
        <v>46030</v>
      </c>
      <c r="C194" s="128">
        <v>25876.85</v>
      </c>
      <c r="D194" s="129">
        <f t="shared" ref="D194:D257" si="5">C193/C194-1</f>
        <v>-0.00747965845920195</v>
      </c>
    </row>
    <row r="195" ht="14.25" customHeight="1" spans="2:4">
      <c r="B195" s="136">
        <v>46029</v>
      </c>
      <c r="C195" s="128">
        <v>26140.75</v>
      </c>
      <c r="D195" s="129">
        <f t="shared" si="5"/>
        <v>-0.0100953492153056</v>
      </c>
    </row>
    <row r="196" ht="14.25" customHeight="1" spans="2:4">
      <c r="B196" s="136">
        <v>46028</v>
      </c>
      <c r="C196" s="128">
        <v>26178.7</v>
      </c>
      <c r="D196" s="129">
        <f t="shared" si="5"/>
        <v>-0.00144965181617118</v>
      </c>
    </row>
    <row r="197" ht="14.25" customHeight="1" spans="2:4">
      <c r="B197" s="136">
        <v>46027</v>
      </c>
      <c r="C197" s="128">
        <v>26250.3</v>
      </c>
      <c r="D197" s="129">
        <f t="shared" si="5"/>
        <v>-0.00272758787518612</v>
      </c>
    </row>
    <row r="198" ht="14.25" customHeight="1" spans="2:4">
      <c r="B198" s="136">
        <v>46024</v>
      </c>
      <c r="C198" s="128">
        <v>26328.55</v>
      </c>
      <c r="D198" s="129">
        <f t="shared" si="5"/>
        <v>-0.00297205884866425</v>
      </c>
    </row>
    <row r="199" ht="14.25" customHeight="1" spans="2:4">
      <c r="B199" s="136">
        <v>46023</v>
      </c>
      <c r="C199" s="128">
        <v>26146.55</v>
      </c>
      <c r="D199" s="129">
        <f t="shared" si="5"/>
        <v>0.00696076537822399</v>
      </c>
    </row>
    <row r="200" ht="14.25" customHeight="1" spans="2:4">
      <c r="B200" s="136">
        <v>46022</v>
      </c>
      <c r="C200" s="128">
        <v>26129.6</v>
      </c>
      <c r="D200" s="129">
        <f t="shared" si="5"/>
        <v>0.000648689608719666</v>
      </c>
    </row>
    <row r="201" ht="14.25" customHeight="1" spans="2:4">
      <c r="B201" s="136">
        <v>46021</v>
      </c>
      <c r="C201" s="128">
        <v>25938.85</v>
      </c>
      <c r="D201" s="129">
        <f t="shared" si="5"/>
        <v>0.00735383411369428</v>
      </c>
    </row>
    <row r="202" ht="14.25" customHeight="1" spans="2:4">
      <c r="B202" s="136">
        <v>46020</v>
      </c>
      <c r="C202" s="128">
        <v>25942.1</v>
      </c>
      <c r="D202" s="129">
        <f t="shared" si="5"/>
        <v>-0.000125278986666477</v>
      </c>
    </row>
    <row r="203" ht="14.25" customHeight="1" spans="2:4">
      <c r="B203" s="136">
        <v>46017</v>
      </c>
      <c r="C203" s="128">
        <v>26042.3</v>
      </c>
      <c r="D203" s="129">
        <f t="shared" si="5"/>
        <v>-0.00384758642669814</v>
      </c>
    </row>
    <row r="204" ht="14.25" customHeight="1" spans="2:4">
      <c r="B204" s="136">
        <v>46015</v>
      </c>
      <c r="C204" s="128">
        <v>26142.1</v>
      </c>
      <c r="D204" s="129">
        <f t="shared" si="5"/>
        <v>-0.0038175969030797</v>
      </c>
    </row>
    <row r="205" ht="14.25" customHeight="1" spans="2:4">
      <c r="B205" s="136">
        <v>46014</v>
      </c>
      <c r="C205" s="128">
        <v>26177.15</v>
      </c>
      <c r="D205" s="129">
        <f t="shared" si="5"/>
        <v>-0.00133895401141848</v>
      </c>
    </row>
    <row r="206" ht="14.25" customHeight="1" spans="2:4">
      <c r="B206" s="136">
        <v>46013</v>
      </c>
      <c r="C206" s="128">
        <v>26172.4</v>
      </c>
      <c r="D206" s="129">
        <f t="shared" si="5"/>
        <v>0.000181488896700444</v>
      </c>
    </row>
    <row r="207" ht="14.25" customHeight="1" spans="2:4">
      <c r="B207" s="136">
        <v>46010</v>
      </c>
      <c r="C207" s="128">
        <v>25966.4</v>
      </c>
      <c r="D207" s="129">
        <f t="shared" si="5"/>
        <v>0.00793332922546064</v>
      </c>
    </row>
    <row r="208" ht="14.25" customHeight="1" spans="2:4">
      <c r="B208" s="136">
        <v>46009</v>
      </c>
      <c r="C208" s="128">
        <v>25815.55</v>
      </c>
      <c r="D208" s="129">
        <f t="shared" si="5"/>
        <v>0.0058433773442752</v>
      </c>
    </row>
    <row r="209" ht="14.25" customHeight="1" spans="2:4">
      <c r="B209" s="136">
        <v>46008</v>
      </c>
      <c r="C209" s="128">
        <v>25818.55</v>
      </c>
      <c r="D209" s="129">
        <f t="shared" si="5"/>
        <v>-0.000116195526084883</v>
      </c>
    </row>
    <row r="210" ht="14.25" customHeight="1" spans="2:4">
      <c r="B210" s="136">
        <v>46007</v>
      </c>
      <c r="C210" s="128">
        <v>25860.1</v>
      </c>
      <c r="D210" s="129">
        <f t="shared" si="5"/>
        <v>-0.00160672232512638</v>
      </c>
    </row>
    <row r="211" ht="14.25" customHeight="1" spans="2:4">
      <c r="B211" s="136">
        <v>46006</v>
      </c>
      <c r="C211" s="128">
        <v>26027.3</v>
      </c>
      <c r="D211" s="129">
        <f t="shared" si="5"/>
        <v>-0.00642402400556341</v>
      </c>
    </row>
    <row r="212" ht="14.25" customHeight="1" spans="2:4">
      <c r="B212" s="136">
        <v>46003</v>
      </c>
      <c r="C212" s="128">
        <v>26046.95</v>
      </c>
      <c r="D212" s="129">
        <f t="shared" si="5"/>
        <v>-0.000754406945918884</v>
      </c>
    </row>
    <row r="213" ht="14.25" customHeight="1" spans="2:4">
      <c r="B213" s="136">
        <v>46002</v>
      </c>
      <c r="C213" s="128">
        <v>25898.55</v>
      </c>
      <c r="D213" s="129">
        <f t="shared" si="5"/>
        <v>0.00573005052406406</v>
      </c>
    </row>
    <row r="214" ht="14.25" customHeight="1" spans="2:4">
      <c r="B214" s="136">
        <v>46001</v>
      </c>
      <c r="C214" s="128">
        <v>25758</v>
      </c>
      <c r="D214" s="129">
        <f t="shared" si="5"/>
        <v>0.00545655718611693</v>
      </c>
    </row>
    <row r="215" ht="14.25" customHeight="1" spans="2:4">
      <c r="B215" s="136">
        <v>46000</v>
      </c>
      <c r="C215" s="128">
        <v>25839.65</v>
      </c>
      <c r="D215" s="129">
        <f t="shared" si="5"/>
        <v>-0.00315987252149319</v>
      </c>
    </row>
    <row r="216" ht="14.25" customHeight="1" spans="2:4">
      <c r="B216" s="136">
        <v>45999</v>
      </c>
      <c r="C216" s="128">
        <v>25960.55</v>
      </c>
      <c r="D216" s="129">
        <f t="shared" si="5"/>
        <v>-0.00465706620237238</v>
      </c>
    </row>
    <row r="217" ht="14.25" customHeight="1" spans="2:4">
      <c r="B217" s="136">
        <v>45996</v>
      </c>
      <c r="C217" s="128">
        <v>26186.45</v>
      </c>
      <c r="D217" s="129">
        <f t="shared" si="5"/>
        <v>-0.00862659887079009</v>
      </c>
    </row>
    <row r="218" ht="14.25" customHeight="1" spans="2:4">
      <c r="B218" s="136">
        <v>45995</v>
      </c>
      <c r="C218" s="128">
        <v>26033.75</v>
      </c>
      <c r="D218" s="129">
        <f t="shared" si="5"/>
        <v>0.00586546310078262</v>
      </c>
    </row>
    <row r="219" ht="14.25" customHeight="1" spans="2:4">
      <c r="B219" s="136">
        <v>45994</v>
      </c>
      <c r="C219" s="128">
        <v>25986</v>
      </c>
      <c r="D219" s="129">
        <f t="shared" si="5"/>
        <v>0.00183752789963831</v>
      </c>
    </row>
    <row r="220" ht="14.25" customHeight="1" spans="2:4">
      <c r="B220" s="136">
        <v>45993</v>
      </c>
      <c r="C220" s="128">
        <v>26032.2</v>
      </c>
      <c r="D220" s="129">
        <f t="shared" si="5"/>
        <v>-0.00177472514808585</v>
      </c>
    </row>
    <row r="221" ht="14.25" customHeight="1" spans="2:4">
      <c r="B221" s="136">
        <v>45992</v>
      </c>
      <c r="C221" s="128">
        <v>26175.75</v>
      </c>
      <c r="D221" s="129">
        <f t="shared" si="5"/>
        <v>-0.00548408355061458</v>
      </c>
    </row>
    <row r="222" ht="14.25" customHeight="1" spans="2:4">
      <c r="B222" s="136">
        <v>45989</v>
      </c>
      <c r="C222" s="128">
        <v>26202.95</v>
      </c>
      <c r="D222" s="129">
        <f t="shared" si="5"/>
        <v>-0.00103805105913646</v>
      </c>
    </row>
    <row r="223" ht="14.25" customHeight="1" spans="2:4">
      <c r="B223" s="136">
        <v>45988</v>
      </c>
      <c r="C223" s="128">
        <v>26215.55</v>
      </c>
      <c r="D223" s="129">
        <f t="shared" si="5"/>
        <v>-0.000480630770668511</v>
      </c>
    </row>
    <row r="224" ht="14.25" customHeight="1" spans="2:4">
      <c r="B224" s="136">
        <v>45987</v>
      </c>
      <c r="C224" s="128">
        <v>26205.3</v>
      </c>
      <c r="D224" s="129">
        <f t="shared" si="5"/>
        <v>0.000391142249850152</v>
      </c>
    </row>
    <row r="225" ht="14.25" customHeight="1" spans="2:4">
      <c r="B225" s="136">
        <v>45986</v>
      </c>
      <c r="C225" s="128">
        <v>25884.8</v>
      </c>
      <c r="D225" s="129">
        <f t="shared" si="5"/>
        <v>0.0123817839040672</v>
      </c>
    </row>
    <row r="226" ht="14.25" customHeight="1" spans="2:4">
      <c r="B226" s="136">
        <v>45985</v>
      </c>
      <c r="C226" s="128">
        <v>25959.5</v>
      </c>
      <c r="D226" s="129">
        <f t="shared" si="5"/>
        <v>-0.00287755927502453</v>
      </c>
    </row>
    <row r="227" ht="14.25" customHeight="1" spans="2:4">
      <c r="B227" s="136">
        <v>45982</v>
      </c>
      <c r="C227" s="128">
        <v>26068.15</v>
      </c>
      <c r="D227" s="129">
        <f t="shared" si="5"/>
        <v>-0.00416792139066258</v>
      </c>
    </row>
    <row r="228" ht="14.25" customHeight="1" spans="2:4">
      <c r="B228" s="136">
        <v>45981</v>
      </c>
      <c r="C228" s="128">
        <v>26192.15</v>
      </c>
      <c r="D228" s="129">
        <f t="shared" si="5"/>
        <v>-0.00473424289338598</v>
      </c>
    </row>
    <row r="229" ht="14.25" customHeight="1" spans="2:4">
      <c r="B229" s="136">
        <v>45980</v>
      </c>
      <c r="C229" s="128">
        <v>26052.65</v>
      </c>
      <c r="D229" s="129">
        <f t="shared" si="5"/>
        <v>0.00535454166850591</v>
      </c>
    </row>
    <row r="230" ht="14.25" customHeight="1" spans="2:4">
      <c r="B230" s="136">
        <v>45979</v>
      </c>
      <c r="C230" s="128">
        <v>25910.05</v>
      </c>
      <c r="D230" s="129">
        <f t="shared" si="5"/>
        <v>0.00550365591729851</v>
      </c>
    </row>
    <row r="231" ht="14.25" customHeight="1" spans="2:4">
      <c r="B231" s="136">
        <v>45978</v>
      </c>
      <c r="C231" s="128">
        <v>26013.45</v>
      </c>
      <c r="D231" s="129">
        <f t="shared" si="5"/>
        <v>-0.00397486684772685</v>
      </c>
    </row>
    <row r="232" ht="14.25" customHeight="1" spans="2:4">
      <c r="B232" s="136">
        <v>45975</v>
      </c>
      <c r="C232" s="128">
        <v>25910.05</v>
      </c>
      <c r="D232" s="129">
        <f t="shared" si="5"/>
        <v>0.00399072946597956</v>
      </c>
    </row>
    <row r="233" ht="14.25" customHeight="1" spans="2:4">
      <c r="B233" s="136">
        <v>45974</v>
      </c>
      <c r="C233" s="128">
        <v>25879.15</v>
      </c>
      <c r="D233" s="129">
        <f t="shared" si="5"/>
        <v>0.00119401139527375</v>
      </c>
    </row>
    <row r="234" ht="14.25" customHeight="1" spans="2:4">
      <c r="B234" s="136">
        <v>45973</v>
      </c>
      <c r="C234" s="128">
        <v>25875.8</v>
      </c>
      <c r="D234" s="129">
        <f t="shared" si="5"/>
        <v>0.000129464596263729</v>
      </c>
    </row>
    <row r="235" ht="14.25" customHeight="1" spans="2:4">
      <c r="B235" s="136">
        <v>45972</v>
      </c>
      <c r="C235" s="128">
        <v>25694.95</v>
      </c>
      <c r="D235" s="129">
        <f t="shared" si="5"/>
        <v>0.0070383480022338</v>
      </c>
    </row>
    <row r="236" ht="14.25" customHeight="1" spans="2:4">
      <c r="B236" s="136">
        <v>45971</v>
      </c>
      <c r="C236" s="128">
        <v>25574.35</v>
      </c>
      <c r="D236" s="129">
        <f t="shared" si="5"/>
        <v>0.00471566237265075</v>
      </c>
    </row>
    <row r="237" ht="14.25" customHeight="1" spans="2:4">
      <c r="B237" s="136">
        <v>45968</v>
      </c>
      <c r="C237" s="128">
        <v>25492.3</v>
      </c>
      <c r="D237" s="129">
        <f t="shared" si="5"/>
        <v>0.00321861895552766</v>
      </c>
    </row>
    <row r="238" ht="14.25" customHeight="1" spans="2:4">
      <c r="B238" s="136">
        <v>45967</v>
      </c>
      <c r="C238" s="128">
        <v>25509.7</v>
      </c>
      <c r="D238" s="129">
        <f t="shared" si="5"/>
        <v>-0.000682093478167167</v>
      </c>
    </row>
    <row r="239" ht="14.25" customHeight="1" spans="2:4">
      <c r="B239" s="136">
        <v>45965</v>
      </c>
      <c r="C239" s="128">
        <v>25597.65</v>
      </c>
      <c r="D239" s="129">
        <f t="shared" si="5"/>
        <v>-0.0034358622764199</v>
      </c>
    </row>
    <row r="240" ht="14.25" customHeight="1" spans="2:4">
      <c r="B240" s="136">
        <v>45964</v>
      </c>
      <c r="C240" s="128">
        <v>25763.35</v>
      </c>
      <c r="D240" s="129">
        <f t="shared" si="5"/>
        <v>-0.00643161700632866</v>
      </c>
    </row>
    <row r="241" ht="14.25" customHeight="1" spans="2:4">
      <c r="B241" s="136">
        <v>45961</v>
      </c>
      <c r="C241" s="128">
        <v>25722.1</v>
      </c>
      <c r="D241" s="129">
        <f t="shared" si="5"/>
        <v>0.00160367932633809</v>
      </c>
    </row>
    <row r="242" ht="14.25" customHeight="1" spans="2:4">
      <c r="B242" s="136">
        <v>45960</v>
      </c>
      <c r="C242" s="128">
        <v>25877.85</v>
      </c>
      <c r="D242" s="129">
        <f t="shared" si="5"/>
        <v>-0.00601866074654578</v>
      </c>
    </row>
    <row r="243" ht="14.25" customHeight="1" spans="2:4">
      <c r="B243" s="136">
        <v>45959</v>
      </c>
      <c r="C243" s="128">
        <v>26053.9</v>
      </c>
      <c r="D243" s="129">
        <f t="shared" si="5"/>
        <v>-0.00675714576320641</v>
      </c>
    </row>
    <row r="244" ht="14.25" customHeight="1" spans="2:4">
      <c r="B244" s="136">
        <v>45958</v>
      </c>
      <c r="C244" s="128">
        <v>25936.2</v>
      </c>
      <c r="D244" s="129">
        <f t="shared" si="5"/>
        <v>0.00453805877499414</v>
      </c>
    </row>
    <row r="245" ht="14.25" customHeight="1" spans="2:4">
      <c r="B245" s="136">
        <v>45957</v>
      </c>
      <c r="C245" s="128">
        <v>25966.05</v>
      </c>
      <c r="D245" s="129">
        <f t="shared" si="5"/>
        <v>-0.00114957800666637</v>
      </c>
    </row>
    <row r="246" ht="14.25" customHeight="1" spans="2:4">
      <c r="B246" s="136">
        <v>45954</v>
      </c>
      <c r="C246" s="128">
        <v>25795.15</v>
      </c>
      <c r="D246" s="129">
        <f t="shared" si="5"/>
        <v>0.00662527645700828</v>
      </c>
    </row>
    <row r="247" ht="14.25" customHeight="1" spans="2:4">
      <c r="B247" s="136">
        <v>45953</v>
      </c>
      <c r="C247" s="128">
        <v>25891.4</v>
      </c>
      <c r="D247" s="129">
        <f t="shared" si="5"/>
        <v>-0.00371745058204653</v>
      </c>
    </row>
    <row r="248" ht="14.25" customHeight="1" spans="2:4">
      <c r="B248" s="136">
        <v>45951</v>
      </c>
      <c r="C248" s="128">
        <v>25868.6</v>
      </c>
      <c r="D248" s="129">
        <f t="shared" si="5"/>
        <v>0.000881377422821572</v>
      </c>
    </row>
    <row r="249" ht="14.25" customHeight="1" spans="2:4">
      <c r="B249" s="136">
        <v>45950</v>
      </c>
      <c r="C249" s="128">
        <v>25843.15</v>
      </c>
      <c r="D249" s="129">
        <f t="shared" si="5"/>
        <v>0.000984787071235393</v>
      </c>
    </row>
    <row r="250" ht="14.25" customHeight="1" spans="2:4">
      <c r="B250" s="136">
        <v>45947</v>
      </c>
      <c r="C250" s="128">
        <v>25709.85</v>
      </c>
      <c r="D250" s="129">
        <f t="shared" si="5"/>
        <v>0.00518478326400196</v>
      </c>
    </row>
    <row r="251" ht="14.25" customHeight="1" spans="2:4">
      <c r="B251" s="136">
        <v>45946</v>
      </c>
      <c r="C251" s="128">
        <v>25585.3</v>
      </c>
      <c r="D251" s="129">
        <f t="shared" si="5"/>
        <v>0.00486802968892297</v>
      </c>
    </row>
    <row r="252" ht="14.25" customHeight="1" spans="2:4">
      <c r="B252" s="136">
        <v>45945</v>
      </c>
      <c r="C252" s="128">
        <v>25323.55</v>
      </c>
      <c r="D252" s="129">
        <f t="shared" si="5"/>
        <v>0.0103362285303601</v>
      </c>
    </row>
    <row r="253" ht="14.25" customHeight="1" spans="2:4">
      <c r="B253" s="136">
        <v>45944</v>
      </c>
      <c r="C253" s="128">
        <v>25145.5</v>
      </c>
      <c r="D253" s="129">
        <f t="shared" si="5"/>
        <v>0.00708078980334448</v>
      </c>
    </row>
    <row r="254" ht="14.25" customHeight="1" spans="2:4">
      <c r="B254" s="136">
        <v>45943</v>
      </c>
      <c r="C254" s="128">
        <v>25227.35</v>
      </c>
      <c r="D254" s="129">
        <f t="shared" si="5"/>
        <v>-0.00324449456641296</v>
      </c>
    </row>
    <row r="255" ht="14.25" customHeight="1" spans="2:4">
      <c r="B255" s="136">
        <v>45940</v>
      </c>
      <c r="C255" s="128">
        <v>25285.35</v>
      </c>
      <c r="D255" s="129">
        <f t="shared" si="5"/>
        <v>-0.00229381835727016</v>
      </c>
    </row>
    <row r="256" ht="14.25" customHeight="1" spans="2:4">
      <c r="B256" s="136">
        <v>45939</v>
      </c>
      <c r="C256" s="128">
        <v>25181.8</v>
      </c>
      <c r="D256" s="129">
        <f t="shared" si="5"/>
        <v>0.00411209683183889</v>
      </c>
    </row>
    <row r="257" ht="14.25" customHeight="1" spans="2:4">
      <c r="B257" s="136">
        <v>45938</v>
      </c>
      <c r="C257" s="128">
        <v>25046.15</v>
      </c>
      <c r="D257" s="129">
        <f t="shared" si="5"/>
        <v>0.00541600206019677</v>
      </c>
    </row>
    <row r="258" ht="14.25" customHeight="1" spans="2:4">
      <c r="B258" s="136">
        <v>45937</v>
      </c>
      <c r="C258" s="128">
        <v>25108.3</v>
      </c>
      <c r="D258" s="129">
        <f t="shared" ref="D258:D321" si="6">C257/C258-1</f>
        <v>-0.00247527709960438</v>
      </c>
    </row>
    <row r="259" ht="14.25" customHeight="1" spans="2:4">
      <c r="B259" s="136">
        <v>45936</v>
      </c>
      <c r="C259" s="128">
        <v>25077.65</v>
      </c>
      <c r="D259" s="129">
        <f t="shared" si="6"/>
        <v>0.0012222038348888</v>
      </c>
    </row>
    <row r="260" ht="14.25" customHeight="1" spans="2:4">
      <c r="B260" s="136">
        <v>45933</v>
      </c>
      <c r="C260" s="128">
        <v>24894.25</v>
      </c>
      <c r="D260" s="129">
        <f t="shared" si="6"/>
        <v>0.00736716309991259</v>
      </c>
    </row>
    <row r="261" ht="14.25" customHeight="1" spans="2:4">
      <c r="B261" s="136">
        <v>45931</v>
      </c>
      <c r="C261" s="128">
        <v>24836.3</v>
      </c>
      <c r="D261" s="129">
        <f t="shared" si="6"/>
        <v>0.00233327830635011</v>
      </c>
    </row>
    <row r="262" ht="14.25" customHeight="1" spans="2:4">
      <c r="B262" s="136">
        <v>45930</v>
      </c>
      <c r="C262" s="128">
        <v>24611.1</v>
      </c>
      <c r="D262" s="129">
        <f t="shared" si="6"/>
        <v>0.00915034273153181</v>
      </c>
    </row>
    <row r="263" ht="14.25" customHeight="1" spans="2:4">
      <c r="B263" s="136">
        <v>45929</v>
      </c>
      <c r="C263" s="128">
        <v>24634.9</v>
      </c>
      <c r="D263" s="129">
        <f t="shared" si="6"/>
        <v>-0.000966109056663611</v>
      </c>
    </row>
    <row r="264" ht="14.25" customHeight="1" spans="2:4">
      <c r="B264" s="136">
        <v>45926</v>
      </c>
      <c r="C264" s="128">
        <v>24654.7</v>
      </c>
      <c r="D264" s="129">
        <f t="shared" si="6"/>
        <v>-0.000803092310999509</v>
      </c>
    </row>
    <row r="265" ht="14.25" customHeight="1" spans="2:4">
      <c r="B265" s="136">
        <v>45925</v>
      </c>
      <c r="C265" s="128">
        <v>24890.85</v>
      </c>
      <c r="D265" s="129">
        <f t="shared" si="6"/>
        <v>-0.00948742208482223</v>
      </c>
    </row>
    <row r="266" ht="14.25" customHeight="1" spans="2:4">
      <c r="B266" s="136">
        <v>45924</v>
      </c>
      <c r="C266" s="128">
        <v>25056.9</v>
      </c>
      <c r="D266" s="129">
        <f t="shared" si="6"/>
        <v>-0.00662691713659724</v>
      </c>
    </row>
    <row r="267" ht="14.25" customHeight="1" spans="2:4">
      <c r="B267" s="136">
        <v>45923</v>
      </c>
      <c r="C267" s="128">
        <v>25169.5</v>
      </c>
      <c r="D267" s="129">
        <f t="shared" si="6"/>
        <v>-0.00447366852738429</v>
      </c>
    </row>
    <row r="268" ht="14.25" customHeight="1" spans="2:4">
      <c r="B268" s="136">
        <v>45922</v>
      </c>
      <c r="C268" s="128">
        <v>25202.35</v>
      </c>
      <c r="D268" s="129">
        <f t="shared" si="6"/>
        <v>-0.00130344987669795</v>
      </c>
    </row>
    <row r="269" ht="14.25" customHeight="1" spans="2:4">
      <c r="B269" s="136">
        <v>45919</v>
      </c>
      <c r="C269" s="128">
        <v>25327.05</v>
      </c>
      <c r="D269" s="129">
        <f t="shared" si="6"/>
        <v>-0.00492358960084183</v>
      </c>
    </row>
    <row r="270" ht="14.25" customHeight="1" spans="2:4">
      <c r="B270" s="136">
        <v>45918</v>
      </c>
      <c r="C270" s="128">
        <v>25423.6</v>
      </c>
      <c r="D270" s="129">
        <f t="shared" si="6"/>
        <v>-0.00379765257477305</v>
      </c>
    </row>
    <row r="271" ht="14.25" customHeight="1" spans="2:4">
      <c r="B271" s="136">
        <v>45917</v>
      </c>
      <c r="C271" s="128">
        <v>25330.25</v>
      </c>
      <c r="D271" s="129">
        <f t="shared" si="6"/>
        <v>0.00368531696291985</v>
      </c>
    </row>
    <row r="272" ht="14.25" customHeight="1" spans="2:4">
      <c r="B272" s="136">
        <v>45916</v>
      </c>
      <c r="C272" s="128">
        <v>25239.1</v>
      </c>
      <c r="D272" s="129">
        <f t="shared" si="6"/>
        <v>0.00361145999659263</v>
      </c>
    </row>
    <row r="273" ht="14.25" customHeight="1" spans="2:4">
      <c r="B273" s="136">
        <v>45915</v>
      </c>
      <c r="C273" s="128">
        <v>25069.2</v>
      </c>
      <c r="D273" s="129">
        <f t="shared" si="6"/>
        <v>0.00677724059802465</v>
      </c>
    </row>
    <row r="274" ht="14.25" customHeight="1" spans="2:4">
      <c r="B274" s="136">
        <v>45912</v>
      </c>
      <c r="C274" s="128">
        <v>25114</v>
      </c>
      <c r="D274" s="129">
        <f t="shared" si="6"/>
        <v>-0.00178386557298715</v>
      </c>
    </row>
    <row r="275" ht="14.25" customHeight="1" spans="2:4">
      <c r="B275" s="136">
        <v>45911</v>
      </c>
      <c r="C275" s="128">
        <v>25005.5</v>
      </c>
      <c r="D275" s="129">
        <f t="shared" si="6"/>
        <v>0.00433904541000985</v>
      </c>
    </row>
    <row r="276" ht="14.25" customHeight="1" spans="2:4">
      <c r="B276" s="136">
        <v>45910</v>
      </c>
      <c r="C276" s="128">
        <v>24973.1</v>
      </c>
      <c r="D276" s="129">
        <f t="shared" si="6"/>
        <v>0.00129739599809398</v>
      </c>
    </row>
    <row r="277" ht="14.25" customHeight="1" spans="2:4">
      <c r="B277" s="136">
        <v>45909</v>
      </c>
      <c r="C277" s="128">
        <v>24868.6</v>
      </c>
      <c r="D277" s="129">
        <f t="shared" si="6"/>
        <v>0.0042020861648826</v>
      </c>
    </row>
    <row r="278" ht="14.25" customHeight="1" spans="2:4">
      <c r="B278" s="136">
        <v>45908</v>
      </c>
      <c r="C278" s="128">
        <v>24773.15</v>
      </c>
      <c r="D278" s="129">
        <f t="shared" si="6"/>
        <v>0.00385296177514749</v>
      </c>
    </row>
    <row r="279" ht="14.25" customHeight="1" spans="2:4">
      <c r="B279" s="136">
        <v>45905</v>
      </c>
      <c r="C279" s="128">
        <v>24741</v>
      </c>
      <c r="D279" s="129">
        <f t="shared" si="6"/>
        <v>0.00129946243078294</v>
      </c>
    </row>
    <row r="280" ht="14.25" customHeight="1" spans="2:4">
      <c r="B280" s="136">
        <v>45904</v>
      </c>
      <c r="C280" s="128">
        <v>24734.3</v>
      </c>
      <c r="D280" s="129">
        <f t="shared" si="6"/>
        <v>0.000270878900959337</v>
      </c>
    </row>
    <row r="281" ht="14.25" customHeight="1" spans="2:4">
      <c r="B281" s="136">
        <v>45903</v>
      </c>
      <c r="C281" s="128">
        <v>24715.05</v>
      </c>
      <c r="D281" s="129">
        <f t="shared" si="6"/>
        <v>0.000778877647425347</v>
      </c>
    </row>
    <row r="282" ht="14.25" customHeight="1" spans="2:4">
      <c r="B282" s="136">
        <v>45902</v>
      </c>
      <c r="C282" s="128">
        <v>24579.6</v>
      </c>
      <c r="D282" s="129">
        <f t="shared" si="6"/>
        <v>0.00551066738270767</v>
      </c>
    </row>
    <row r="283" ht="14.25" customHeight="1" spans="2:4">
      <c r="B283" s="136">
        <v>45901</v>
      </c>
      <c r="C283" s="128">
        <v>24625.05</v>
      </c>
      <c r="D283" s="129">
        <f t="shared" si="6"/>
        <v>-0.00184568153161113</v>
      </c>
    </row>
    <row r="284" ht="14.25" customHeight="1" spans="2:4">
      <c r="B284" s="136">
        <v>45898</v>
      </c>
      <c r="C284" s="128">
        <v>24426.85</v>
      </c>
      <c r="D284" s="129">
        <f t="shared" si="6"/>
        <v>0.00811402206997625</v>
      </c>
    </row>
    <row r="285" ht="14.25" customHeight="1" spans="2:4">
      <c r="B285" s="136">
        <v>45897</v>
      </c>
      <c r="C285" s="128">
        <v>24500.9</v>
      </c>
      <c r="D285" s="129">
        <f t="shared" si="6"/>
        <v>-0.00302233795493234</v>
      </c>
    </row>
    <row r="286" ht="14.25" customHeight="1" spans="2:4">
      <c r="B286" s="136">
        <v>45895</v>
      </c>
      <c r="C286" s="128">
        <v>24712.05</v>
      </c>
      <c r="D286" s="129">
        <f t="shared" si="6"/>
        <v>-0.00854441456698241</v>
      </c>
    </row>
    <row r="287" ht="14.25" customHeight="1" spans="2:4">
      <c r="B287" s="136">
        <v>45894</v>
      </c>
      <c r="C287" s="128">
        <v>24967.75</v>
      </c>
      <c r="D287" s="129">
        <f t="shared" si="6"/>
        <v>-0.0102412111623995</v>
      </c>
    </row>
    <row r="288" ht="14.25" customHeight="1" spans="2:4">
      <c r="B288" s="136">
        <v>45891</v>
      </c>
      <c r="C288" s="128">
        <v>24870.1</v>
      </c>
      <c r="D288" s="129">
        <f t="shared" si="6"/>
        <v>0.00392640158262347</v>
      </c>
    </row>
    <row r="289" ht="14.25" customHeight="1" spans="2:4">
      <c r="B289" s="136">
        <v>45890</v>
      </c>
      <c r="C289" s="128">
        <v>25083.75</v>
      </c>
      <c r="D289" s="129">
        <f t="shared" si="6"/>
        <v>-0.0085174664872677</v>
      </c>
    </row>
    <row r="290" ht="14.25" customHeight="1" spans="2:4">
      <c r="B290" s="136">
        <v>45889</v>
      </c>
      <c r="C290" s="128">
        <v>25050.55</v>
      </c>
      <c r="D290" s="129">
        <f t="shared" si="6"/>
        <v>0.0013253202025505</v>
      </c>
    </row>
    <row r="291" ht="14.25" customHeight="1" spans="2:4">
      <c r="B291" s="136">
        <v>45888</v>
      </c>
      <c r="C291" s="128">
        <v>24980.65</v>
      </c>
      <c r="D291" s="129">
        <f t="shared" si="6"/>
        <v>0.00279816578031378</v>
      </c>
    </row>
    <row r="292" ht="14.25" customHeight="1" spans="2:4">
      <c r="B292" s="136">
        <v>45887</v>
      </c>
      <c r="C292" s="128">
        <v>24876.95</v>
      </c>
      <c r="D292" s="129">
        <f t="shared" si="6"/>
        <v>0.00416851744285385</v>
      </c>
    </row>
    <row r="293" ht="14.25" customHeight="1" spans="2:4">
      <c r="B293" s="136">
        <v>45883</v>
      </c>
      <c r="C293" s="128">
        <v>24631.3</v>
      </c>
      <c r="D293" s="129">
        <f t="shared" si="6"/>
        <v>0.00997308302850453</v>
      </c>
    </row>
    <row r="294" ht="14.25" customHeight="1" spans="2:4">
      <c r="B294" s="136">
        <v>45882</v>
      </c>
      <c r="C294" s="128">
        <v>24619.35</v>
      </c>
      <c r="D294" s="129">
        <f t="shared" si="6"/>
        <v>0.000485390556615117</v>
      </c>
    </row>
    <row r="295" ht="14.25" customHeight="1" spans="2:4">
      <c r="B295" s="136">
        <v>45881</v>
      </c>
      <c r="C295" s="128">
        <v>24487.4</v>
      </c>
      <c r="D295" s="129">
        <f t="shared" si="6"/>
        <v>0.00538848550683202</v>
      </c>
    </row>
    <row r="296" ht="14.25" customHeight="1" spans="2:4">
      <c r="B296" s="136">
        <v>45880</v>
      </c>
      <c r="C296" s="128">
        <v>24585.05</v>
      </c>
      <c r="D296" s="129">
        <f t="shared" si="6"/>
        <v>-0.00397192602821628</v>
      </c>
    </row>
    <row r="297" ht="14.25" customHeight="1" spans="2:4">
      <c r="B297" s="136">
        <v>45877</v>
      </c>
      <c r="C297" s="128">
        <v>24363.3</v>
      </c>
      <c r="D297" s="129">
        <f t="shared" si="6"/>
        <v>0.00910180476372258</v>
      </c>
    </row>
    <row r="298" ht="14.25" customHeight="1" spans="2:4">
      <c r="B298" s="136">
        <v>45876</v>
      </c>
      <c r="C298" s="128">
        <v>24596.15</v>
      </c>
      <c r="D298" s="129">
        <f t="shared" si="6"/>
        <v>-0.00946692876730715</v>
      </c>
    </row>
    <row r="299" ht="14.25" customHeight="1" spans="2:4">
      <c r="B299" s="136">
        <v>45875</v>
      </c>
      <c r="C299" s="128">
        <v>24574.2</v>
      </c>
      <c r="D299" s="129">
        <f t="shared" si="6"/>
        <v>0.000893213207347587</v>
      </c>
    </row>
    <row r="300" ht="14.25" customHeight="1" spans="2:4">
      <c r="B300" s="136">
        <v>45874</v>
      </c>
      <c r="C300" s="128">
        <v>24649.55</v>
      </c>
      <c r="D300" s="129">
        <f t="shared" si="6"/>
        <v>-0.00305685093642682</v>
      </c>
    </row>
    <row r="301" ht="14.25" customHeight="1" spans="2:4">
      <c r="B301" s="136">
        <v>45873</v>
      </c>
      <c r="C301" s="128">
        <v>24722.75</v>
      </c>
      <c r="D301" s="129">
        <f t="shared" si="6"/>
        <v>-0.00296083566755323</v>
      </c>
    </row>
    <row r="302" ht="14.25" customHeight="1" spans="2:4">
      <c r="B302" s="136">
        <v>45870</v>
      </c>
      <c r="C302" s="128">
        <v>24565.35</v>
      </c>
      <c r="D302" s="129">
        <f t="shared" si="6"/>
        <v>0.00640739903970444</v>
      </c>
    </row>
    <row r="303" ht="14.25" customHeight="1" spans="2:4">
      <c r="B303" s="136">
        <v>45869</v>
      </c>
      <c r="C303" s="128">
        <v>24768.35</v>
      </c>
      <c r="D303" s="129">
        <f t="shared" si="6"/>
        <v>-0.00819594361352294</v>
      </c>
    </row>
    <row r="304" ht="14.25" customHeight="1" spans="2:4">
      <c r="B304" s="136">
        <v>45868</v>
      </c>
      <c r="C304" s="128">
        <v>24855.05</v>
      </c>
      <c r="D304" s="129">
        <f t="shared" si="6"/>
        <v>-0.00348822472696697</v>
      </c>
    </row>
    <row r="305" ht="14.25" customHeight="1" spans="2:4">
      <c r="B305" s="136">
        <v>45867</v>
      </c>
      <c r="C305" s="128">
        <v>24821.1</v>
      </c>
      <c r="D305" s="129">
        <f t="shared" si="6"/>
        <v>0.00136778789014191</v>
      </c>
    </row>
    <row r="306" ht="14.25" customHeight="1" spans="2:4">
      <c r="B306" s="136">
        <v>45866</v>
      </c>
      <c r="C306" s="128">
        <v>24680.9</v>
      </c>
      <c r="D306" s="129">
        <f t="shared" si="6"/>
        <v>0.00568050597830694</v>
      </c>
    </row>
    <row r="307" ht="14.25" customHeight="1" spans="2:4">
      <c r="B307" s="136">
        <v>45863</v>
      </c>
      <c r="C307" s="128">
        <v>24837</v>
      </c>
      <c r="D307" s="129">
        <f t="shared" si="6"/>
        <v>-0.00628497805693118</v>
      </c>
    </row>
    <row r="308" ht="14.25" customHeight="1" spans="2:4">
      <c r="B308" s="136">
        <v>45862</v>
      </c>
      <c r="C308" s="128">
        <v>25062.1</v>
      </c>
      <c r="D308" s="129">
        <f t="shared" si="6"/>
        <v>-0.00898168948332334</v>
      </c>
    </row>
    <row r="309" ht="14.25" customHeight="1" spans="2:4">
      <c r="B309" s="136">
        <v>45861</v>
      </c>
      <c r="C309" s="128">
        <v>25219.9</v>
      </c>
      <c r="D309" s="129">
        <f t="shared" si="6"/>
        <v>-0.00625696374688256</v>
      </c>
    </row>
    <row r="310" ht="14.25" customHeight="1" spans="2:4">
      <c r="B310" s="136">
        <v>45860</v>
      </c>
      <c r="C310" s="128">
        <v>25060.9</v>
      </c>
      <c r="D310" s="129">
        <f t="shared" si="6"/>
        <v>0.00634454468913725</v>
      </c>
    </row>
    <row r="311" ht="14.25" customHeight="1" spans="2:4">
      <c r="B311" s="136">
        <v>45859</v>
      </c>
      <c r="C311" s="128">
        <v>25090.7</v>
      </c>
      <c r="D311" s="129">
        <f t="shared" si="6"/>
        <v>-0.00118769105684569</v>
      </c>
    </row>
    <row r="312" ht="14.25" customHeight="1" spans="2:4">
      <c r="B312" s="136">
        <v>45856</v>
      </c>
      <c r="C312" s="128">
        <v>24968.4</v>
      </c>
      <c r="D312" s="129">
        <f t="shared" si="6"/>
        <v>0.00489819131382063</v>
      </c>
    </row>
    <row r="313" ht="14.25" customHeight="1" spans="2:4">
      <c r="B313" s="136">
        <v>45855</v>
      </c>
      <c r="C313" s="128">
        <v>25111.45</v>
      </c>
      <c r="D313" s="129">
        <f t="shared" si="6"/>
        <v>-0.00569660453697418</v>
      </c>
    </row>
    <row r="314" ht="14.25" customHeight="1" spans="2:4">
      <c r="B314" s="136">
        <v>45854</v>
      </c>
      <c r="C314" s="128">
        <v>25212.05</v>
      </c>
      <c r="D314" s="129">
        <f t="shared" si="6"/>
        <v>-0.00399015550104009</v>
      </c>
    </row>
    <row r="315" ht="14.25" customHeight="1" spans="2:4">
      <c r="B315" s="136">
        <v>45853</v>
      </c>
      <c r="C315" s="128">
        <v>25195.8</v>
      </c>
      <c r="D315" s="129">
        <f t="shared" si="6"/>
        <v>0.000644948761301389</v>
      </c>
    </row>
    <row r="316" ht="14.25" customHeight="1" spans="2:4">
      <c r="B316" s="136">
        <v>45852</v>
      </c>
      <c r="C316" s="128">
        <v>25082.3</v>
      </c>
      <c r="D316" s="129">
        <f t="shared" si="6"/>
        <v>0.00452510335973977</v>
      </c>
    </row>
    <row r="317" ht="14.25" customHeight="1" spans="2:4">
      <c r="B317" s="136">
        <v>45849</v>
      </c>
      <c r="C317" s="128">
        <v>25149.85</v>
      </c>
      <c r="D317" s="129">
        <f t="shared" si="6"/>
        <v>-0.00268590071113739</v>
      </c>
    </row>
    <row r="318" ht="14.25" customHeight="1" spans="2:4">
      <c r="B318" s="136">
        <v>45848</v>
      </c>
      <c r="C318" s="128">
        <v>25355.25</v>
      </c>
      <c r="D318" s="129">
        <f t="shared" si="6"/>
        <v>-0.00810088640419637</v>
      </c>
    </row>
    <row r="319" ht="14.25" customHeight="1" spans="2:4">
      <c r="B319" s="136">
        <v>45847</v>
      </c>
      <c r="C319" s="128">
        <v>25476.1</v>
      </c>
      <c r="D319" s="129">
        <f t="shared" si="6"/>
        <v>-0.00474366170646212</v>
      </c>
    </row>
    <row r="320" ht="14.25" customHeight="1" spans="2:4">
      <c r="B320" s="136">
        <v>45846</v>
      </c>
      <c r="C320" s="128">
        <v>25522.5</v>
      </c>
      <c r="D320" s="129">
        <f t="shared" si="6"/>
        <v>-0.00181800372220597</v>
      </c>
    </row>
    <row r="321" ht="14.25" customHeight="1" spans="2:4">
      <c r="B321" s="136">
        <v>45845</v>
      </c>
      <c r="C321" s="128">
        <v>25461.3</v>
      </c>
      <c r="D321" s="129">
        <f t="shared" si="6"/>
        <v>0.00240364788914937</v>
      </c>
    </row>
    <row r="322" ht="14.25" customHeight="1" spans="2:4">
      <c r="B322" s="136">
        <v>45842</v>
      </c>
      <c r="C322" s="128">
        <v>25461</v>
      </c>
      <c r="D322" s="129">
        <f t="shared" ref="D322:D385" si="7">C321/C322-1</f>
        <v>1.17827265229131e-5</v>
      </c>
    </row>
    <row r="323" ht="14.25" customHeight="1" spans="2:4">
      <c r="B323" s="136">
        <v>45841</v>
      </c>
      <c r="C323" s="128">
        <v>25405.3</v>
      </c>
      <c r="D323" s="129">
        <f t="shared" si="7"/>
        <v>0.00219245590487027</v>
      </c>
    </row>
    <row r="324" ht="14.25" customHeight="1" spans="2:4">
      <c r="B324" s="136">
        <v>45840</v>
      </c>
      <c r="C324" s="128">
        <v>25453.4</v>
      </c>
      <c r="D324" s="129">
        <f t="shared" si="7"/>
        <v>-0.00188972789489816</v>
      </c>
    </row>
    <row r="325" ht="14.25" customHeight="1" spans="2:4">
      <c r="B325" s="136">
        <v>45839</v>
      </c>
      <c r="C325" s="128">
        <v>25541.8</v>
      </c>
      <c r="D325" s="129">
        <f t="shared" si="7"/>
        <v>-0.00346099335207373</v>
      </c>
    </row>
    <row r="326" ht="14.25" customHeight="1" spans="2:4">
      <c r="B326" s="136">
        <v>45838</v>
      </c>
      <c r="C326" s="128">
        <v>25517.05</v>
      </c>
      <c r="D326" s="129">
        <f t="shared" si="7"/>
        <v>0.000969939706980227</v>
      </c>
    </row>
    <row r="327" ht="14.25" customHeight="1" spans="2:4">
      <c r="B327" s="136">
        <v>45835</v>
      </c>
      <c r="C327" s="128">
        <v>25637.8</v>
      </c>
      <c r="D327" s="129">
        <f t="shared" si="7"/>
        <v>-0.00470984249818629</v>
      </c>
    </row>
    <row r="328" ht="14.25" customHeight="1" spans="2:4">
      <c r="B328" s="136">
        <v>45834</v>
      </c>
      <c r="C328" s="128">
        <v>25549</v>
      </c>
      <c r="D328" s="129">
        <f t="shared" si="7"/>
        <v>0.00347567419468464</v>
      </c>
    </row>
    <row r="329" ht="14.25" customHeight="1" spans="2:4">
      <c r="B329" s="136">
        <v>45833</v>
      </c>
      <c r="C329" s="128">
        <v>25244.75</v>
      </c>
      <c r="D329" s="129">
        <f t="shared" si="7"/>
        <v>0.0120520108141298</v>
      </c>
    </row>
    <row r="330" ht="14.25" customHeight="1" spans="2:4">
      <c r="B330" s="136">
        <v>45832</v>
      </c>
      <c r="C330" s="128">
        <v>25044.35</v>
      </c>
      <c r="D330" s="129">
        <f t="shared" si="7"/>
        <v>0.00800180479828794</v>
      </c>
    </row>
    <row r="331" ht="14.25" customHeight="1" spans="2:4">
      <c r="B331" s="136">
        <v>45831</v>
      </c>
      <c r="C331" s="128">
        <v>24971.9</v>
      </c>
      <c r="D331" s="129">
        <f t="shared" si="7"/>
        <v>0.00290126101738353</v>
      </c>
    </row>
    <row r="332" ht="14.25" customHeight="1" spans="2:4">
      <c r="B332" s="136">
        <v>45828</v>
      </c>
      <c r="C332" s="128">
        <v>25112.4</v>
      </c>
      <c r="D332" s="129">
        <f t="shared" si="7"/>
        <v>-0.0055948455742979</v>
      </c>
    </row>
    <row r="333" ht="14.25" customHeight="1" spans="2:4">
      <c r="B333" s="136">
        <v>45827</v>
      </c>
      <c r="C333" s="128">
        <v>24793.25</v>
      </c>
      <c r="D333" s="129">
        <f t="shared" si="7"/>
        <v>0.0128724552045416</v>
      </c>
    </row>
    <row r="334" ht="14.25" customHeight="1" spans="2:4">
      <c r="B334" s="136">
        <v>45826</v>
      </c>
      <c r="C334" s="128">
        <v>24812.05</v>
      </c>
      <c r="D334" s="129">
        <f t="shared" si="7"/>
        <v>-0.000757696361243787</v>
      </c>
    </row>
    <row r="335" ht="14.25" customHeight="1" spans="2:4">
      <c r="B335" s="136">
        <v>45825</v>
      </c>
      <c r="C335" s="128">
        <v>24853.4</v>
      </c>
      <c r="D335" s="129">
        <f t="shared" si="7"/>
        <v>-0.00166375626674831</v>
      </c>
    </row>
    <row r="336" ht="14.25" customHeight="1" spans="2:4">
      <c r="B336" s="136">
        <v>45824</v>
      </c>
      <c r="C336" s="128">
        <v>24946.5</v>
      </c>
      <c r="D336" s="129">
        <f t="shared" si="7"/>
        <v>-0.00373198645100514</v>
      </c>
    </row>
    <row r="337" ht="14.25" customHeight="1" spans="2:4">
      <c r="B337" s="136">
        <v>45821</v>
      </c>
      <c r="C337" s="128">
        <v>24718.6</v>
      </c>
      <c r="D337" s="129">
        <f t="shared" si="7"/>
        <v>0.0092197778191323</v>
      </c>
    </row>
    <row r="338" ht="14.25" customHeight="1" spans="2:4">
      <c r="B338" s="136">
        <v>45820</v>
      </c>
      <c r="C338" s="128">
        <v>24888.2</v>
      </c>
      <c r="D338" s="129">
        <f t="shared" si="7"/>
        <v>-0.00681447432920024</v>
      </c>
    </row>
    <row r="339" ht="14.25" customHeight="1" spans="2:4">
      <c r="B339" s="136">
        <v>45819</v>
      </c>
      <c r="C339" s="128">
        <v>25141.4</v>
      </c>
      <c r="D339" s="129">
        <f t="shared" si="7"/>
        <v>-0.0100710382078961</v>
      </c>
    </row>
    <row r="340" ht="14.25" customHeight="1" spans="2:4">
      <c r="B340" s="136">
        <v>45818</v>
      </c>
      <c r="C340" s="128">
        <v>25104.25</v>
      </c>
      <c r="D340" s="129">
        <f t="shared" si="7"/>
        <v>0.00147982911260058</v>
      </c>
    </row>
    <row r="341" ht="14.25" customHeight="1" spans="2:4">
      <c r="B341" s="136">
        <v>45817</v>
      </c>
      <c r="C341" s="128">
        <v>25103.2</v>
      </c>
      <c r="D341" s="129">
        <f t="shared" si="7"/>
        <v>4.18273367539523e-5</v>
      </c>
    </row>
    <row r="342" ht="14.25" customHeight="1" spans="2:4">
      <c r="B342" s="136">
        <v>45814</v>
      </c>
      <c r="C342" s="128">
        <v>25003.05</v>
      </c>
      <c r="D342" s="129">
        <f t="shared" si="7"/>
        <v>0.00400551132761806</v>
      </c>
    </row>
    <row r="343" ht="14.25" customHeight="1" spans="2:4">
      <c r="B343" s="136">
        <v>45813</v>
      </c>
      <c r="C343" s="128">
        <v>24750.9</v>
      </c>
      <c r="D343" s="129">
        <f t="shared" si="7"/>
        <v>0.0101875083330303</v>
      </c>
    </row>
    <row r="344" ht="14.25" customHeight="1" spans="2:4">
      <c r="B344" s="136">
        <v>45812</v>
      </c>
      <c r="C344" s="128">
        <v>24620.2</v>
      </c>
      <c r="D344" s="129">
        <f t="shared" si="7"/>
        <v>0.00530864899554029</v>
      </c>
    </row>
    <row r="345" ht="14.25" customHeight="1" spans="2:4">
      <c r="B345" s="136">
        <v>45811</v>
      </c>
      <c r="C345" s="128">
        <v>24542.5</v>
      </c>
      <c r="D345" s="129">
        <f t="shared" si="7"/>
        <v>0.00316593664052167</v>
      </c>
    </row>
    <row r="346" ht="14.25" customHeight="1" spans="2:4">
      <c r="B346" s="136">
        <v>45810</v>
      </c>
      <c r="C346" s="128">
        <v>24716.6</v>
      </c>
      <c r="D346" s="129">
        <f t="shared" si="7"/>
        <v>-0.00704384907309252</v>
      </c>
    </row>
    <row r="347" ht="14.25" customHeight="1" spans="2:4">
      <c r="B347" s="136">
        <v>45807</v>
      </c>
      <c r="C347" s="128">
        <v>24750.7</v>
      </c>
      <c r="D347" s="129">
        <f t="shared" si="7"/>
        <v>-0.00137773881142766</v>
      </c>
    </row>
    <row r="348" ht="14.25" customHeight="1" spans="2:4">
      <c r="B348" s="136">
        <v>45806</v>
      </c>
      <c r="C348" s="128">
        <v>24833.6</v>
      </c>
      <c r="D348" s="129">
        <f t="shared" si="7"/>
        <v>-0.00333821918690802</v>
      </c>
    </row>
    <row r="349" ht="14.25" customHeight="1" spans="2:4">
      <c r="B349" s="136">
        <v>45805</v>
      </c>
      <c r="C349" s="128">
        <v>24752.45</v>
      </c>
      <c r="D349" s="129">
        <f t="shared" si="7"/>
        <v>0.00327846334403259</v>
      </c>
    </row>
    <row r="350" ht="14.25" customHeight="1" spans="2:4">
      <c r="B350" s="136">
        <v>45804</v>
      </c>
      <c r="C350" s="128">
        <v>24826.2</v>
      </c>
      <c r="D350" s="129">
        <f t="shared" si="7"/>
        <v>-0.00297065197251289</v>
      </c>
    </row>
    <row r="351" ht="14.25" customHeight="1" spans="2:4">
      <c r="B351" s="136">
        <v>45803</v>
      </c>
      <c r="C351" s="128">
        <v>25001.15</v>
      </c>
      <c r="D351" s="129">
        <f t="shared" si="7"/>
        <v>-0.00699767810680707</v>
      </c>
    </row>
    <row r="352" ht="14.25" customHeight="1" spans="2:4">
      <c r="B352" s="136">
        <v>45800</v>
      </c>
      <c r="C352" s="128">
        <v>24853.15</v>
      </c>
      <c r="D352" s="129">
        <f t="shared" si="7"/>
        <v>0.00595497954987589</v>
      </c>
    </row>
    <row r="353" ht="14.25" customHeight="1" spans="2:4">
      <c r="B353" s="136">
        <v>45799</v>
      </c>
      <c r="C353" s="128">
        <v>24609.7</v>
      </c>
      <c r="D353" s="129">
        <f t="shared" si="7"/>
        <v>0.00989244078554385</v>
      </c>
    </row>
    <row r="354" ht="14.25" customHeight="1" spans="2:4">
      <c r="B354" s="136">
        <v>45798</v>
      </c>
      <c r="C354" s="128">
        <v>24813.45</v>
      </c>
      <c r="D354" s="129">
        <f t="shared" si="7"/>
        <v>-0.00821127251551079</v>
      </c>
    </row>
    <row r="355" ht="14.25" customHeight="1" spans="2:4">
      <c r="B355" s="136">
        <v>45797</v>
      </c>
      <c r="C355" s="128">
        <v>24683.9</v>
      </c>
      <c r="D355" s="129">
        <f t="shared" si="7"/>
        <v>0.00524836026721864</v>
      </c>
    </row>
    <row r="356" ht="14.25" customHeight="1" spans="2:4">
      <c r="B356" s="136">
        <v>45796</v>
      </c>
      <c r="C356" s="128">
        <v>24945.45</v>
      </c>
      <c r="D356" s="129">
        <f t="shared" si="7"/>
        <v>-0.0104848780038043</v>
      </c>
    </row>
    <row r="357" ht="14.25" customHeight="1" spans="2:4">
      <c r="B357" s="136">
        <v>45793</v>
      </c>
      <c r="C357" s="128">
        <v>25019.8</v>
      </c>
      <c r="D357" s="129">
        <f t="shared" si="7"/>
        <v>-0.00297164645600678</v>
      </c>
    </row>
    <row r="358" ht="14.25" customHeight="1" spans="2:4">
      <c r="B358" s="136">
        <v>45792</v>
      </c>
      <c r="C358" s="128">
        <v>25062.1</v>
      </c>
      <c r="D358" s="129">
        <f t="shared" si="7"/>
        <v>-0.00168780748620423</v>
      </c>
    </row>
    <row r="359" ht="14.25" customHeight="1" spans="2:4">
      <c r="B359" s="136">
        <v>45791</v>
      </c>
      <c r="C359" s="128">
        <v>24666.9</v>
      </c>
      <c r="D359" s="129">
        <f t="shared" si="7"/>
        <v>0.016021470067175</v>
      </c>
    </row>
    <row r="360" ht="14.25" customHeight="1" spans="2:4">
      <c r="B360" s="136">
        <v>45790</v>
      </c>
      <c r="C360" s="128">
        <v>24578.35</v>
      </c>
      <c r="D360" s="129">
        <f t="shared" si="7"/>
        <v>0.00360276422135763</v>
      </c>
    </row>
    <row r="361" ht="14.25" customHeight="1" spans="2:4">
      <c r="B361" s="136">
        <v>45789</v>
      </c>
      <c r="C361" s="128">
        <v>24924.7</v>
      </c>
      <c r="D361" s="129">
        <f t="shared" si="7"/>
        <v>-0.0138958543131914</v>
      </c>
    </row>
    <row r="362" ht="14.25" customHeight="1" spans="2:4">
      <c r="B362" s="136">
        <v>45786</v>
      </c>
      <c r="C362" s="128">
        <v>24008</v>
      </c>
      <c r="D362" s="129">
        <f t="shared" si="7"/>
        <v>0.0381831056314561</v>
      </c>
    </row>
    <row r="363" ht="14.25" customHeight="1" spans="2:4">
      <c r="B363" s="136">
        <v>45785</v>
      </c>
      <c r="C363" s="128">
        <v>24273.8</v>
      </c>
      <c r="D363" s="129">
        <f t="shared" si="7"/>
        <v>-0.0109500778617274</v>
      </c>
    </row>
    <row r="364" ht="14.25" customHeight="1" spans="2:4">
      <c r="B364" s="136">
        <v>45784</v>
      </c>
      <c r="C364" s="128">
        <v>24414.4</v>
      </c>
      <c r="D364" s="129">
        <f t="shared" si="7"/>
        <v>-0.00575889638901639</v>
      </c>
    </row>
    <row r="365" ht="14.25" customHeight="1" spans="2:4">
      <c r="B365" s="136">
        <v>45783</v>
      </c>
      <c r="C365" s="128">
        <v>24379.6</v>
      </c>
      <c r="D365" s="129">
        <f t="shared" si="7"/>
        <v>0.00142742292736564</v>
      </c>
    </row>
    <row r="366" ht="14.25" customHeight="1" spans="2:4">
      <c r="B366" s="136">
        <v>45782</v>
      </c>
      <c r="C366" s="128">
        <v>24461.15</v>
      </c>
      <c r="D366" s="129">
        <f t="shared" si="7"/>
        <v>-0.00333385797478869</v>
      </c>
    </row>
    <row r="367" ht="14.25" customHeight="1" spans="2:4">
      <c r="B367" s="136">
        <v>45779</v>
      </c>
      <c r="C367" s="128">
        <v>24346.7</v>
      </c>
      <c r="D367" s="129">
        <f t="shared" si="7"/>
        <v>0.00470084241396163</v>
      </c>
    </row>
    <row r="368" ht="14.25" customHeight="1" spans="2:4">
      <c r="B368" s="136">
        <v>45777</v>
      </c>
      <c r="C368" s="128">
        <v>24334.2</v>
      </c>
      <c r="D368" s="129">
        <f t="shared" si="7"/>
        <v>0.000513680334673028</v>
      </c>
    </row>
    <row r="369" ht="14.25" customHeight="1" spans="2:4">
      <c r="B369" s="136">
        <v>45776</v>
      </c>
      <c r="C369" s="128">
        <v>24335.95</v>
      </c>
      <c r="D369" s="129">
        <f t="shared" si="7"/>
        <v>-7.19100754233981e-5</v>
      </c>
    </row>
    <row r="370" ht="14.25" customHeight="1" spans="2:4">
      <c r="B370" s="136">
        <v>45775</v>
      </c>
      <c r="C370" s="128">
        <v>24328.5</v>
      </c>
      <c r="D370" s="129">
        <f t="shared" si="7"/>
        <v>0.000306225209116828</v>
      </c>
    </row>
    <row r="371" ht="14.25" customHeight="1" spans="2:4">
      <c r="B371" s="136">
        <v>45772</v>
      </c>
      <c r="C371" s="128">
        <v>24039.35</v>
      </c>
      <c r="D371" s="129">
        <f t="shared" si="7"/>
        <v>0.0120281954378967</v>
      </c>
    </row>
    <row r="372" ht="14.25" customHeight="1" spans="2:4">
      <c r="B372" s="136">
        <v>45771</v>
      </c>
      <c r="C372" s="128">
        <v>24246.7</v>
      </c>
      <c r="D372" s="129">
        <f t="shared" si="7"/>
        <v>-0.0085516791975816</v>
      </c>
    </row>
    <row r="373" ht="14.25" customHeight="1" spans="2:4">
      <c r="B373" s="136">
        <v>45770</v>
      </c>
      <c r="C373" s="128">
        <v>24328.95</v>
      </c>
      <c r="D373" s="129">
        <f t="shared" si="7"/>
        <v>-0.00338074598369431</v>
      </c>
    </row>
    <row r="374" ht="14.25" customHeight="1" spans="2:4">
      <c r="B374" s="136">
        <v>45769</v>
      </c>
      <c r="C374" s="128">
        <v>24167.25</v>
      </c>
      <c r="D374" s="129">
        <f t="shared" si="7"/>
        <v>0.00669087297892812</v>
      </c>
    </row>
    <row r="375" ht="14.25" customHeight="1" spans="2:4">
      <c r="B375" s="136">
        <v>45768</v>
      </c>
      <c r="C375" s="128">
        <v>24125.55</v>
      </c>
      <c r="D375" s="129">
        <f t="shared" si="7"/>
        <v>0.00172845800406618</v>
      </c>
    </row>
    <row r="376" ht="14.25" customHeight="1" spans="2:4">
      <c r="B376" s="136">
        <v>45764</v>
      </c>
      <c r="C376" s="128">
        <v>23851.65</v>
      </c>
      <c r="D376" s="129">
        <f t="shared" si="7"/>
        <v>0.0114834822748111</v>
      </c>
    </row>
    <row r="377" ht="14.25" customHeight="1" spans="2:4">
      <c r="B377" s="136">
        <v>45763</v>
      </c>
      <c r="C377" s="128">
        <v>23437.2</v>
      </c>
      <c r="D377" s="129">
        <f t="shared" si="7"/>
        <v>0.0176834263478574</v>
      </c>
    </row>
    <row r="378" ht="14.25" customHeight="1" spans="2:4">
      <c r="B378" s="136">
        <v>45762</v>
      </c>
      <c r="C378" s="128">
        <v>23328.55</v>
      </c>
      <c r="D378" s="129">
        <f t="shared" si="7"/>
        <v>0.00465738333501231</v>
      </c>
    </row>
    <row r="379" ht="14.25" customHeight="1" spans="2:4">
      <c r="B379" s="136">
        <v>45758</v>
      </c>
      <c r="C379" s="128">
        <v>22828.55</v>
      </c>
      <c r="D379" s="129">
        <f t="shared" si="7"/>
        <v>0.0219023985316633</v>
      </c>
    </row>
    <row r="380" ht="14.25" customHeight="1" spans="2:4">
      <c r="B380" s="136">
        <v>45756</v>
      </c>
      <c r="C380" s="128">
        <v>22399.15</v>
      </c>
      <c r="D380" s="129">
        <f t="shared" si="7"/>
        <v>0.0191703703042303</v>
      </c>
    </row>
    <row r="381" ht="14.25" customHeight="1" spans="2:4">
      <c r="B381" s="136">
        <v>45755</v>
      </c>
      <c r="C381" s="128">
        <v>22535.85</v>
      </c>
      <c r="D381" s="129">
        <f t="shared" si="7"/>
        <v>-0.00606589056991402</v>
      </c>
    </row>
    <row r="382" ht="14.25" customHeight="1" spans="2:4">
      <c r="B382" s="136">
        <v>45754</v>
      </c>
      <c r="C382" s="128">
        <v>22161.6</v>
      </c>
      <c r="D382" s="129">
        <f t="shared" si="7"/>
        <v>0.0168873186051548</v>
      </c>
    </row>
    <row r="383" ht="14.25" customHeight="1" spans="2:4">
      <c r="B383" s="136">
        <v>45751</v>
      </c>
      <c r="C383" s="128">
        <v>22904.45</v>
      </c>
      <c r="D383" s="129">
        <f t="shared" si="7"/>
        <v>-0.0324325622313569</v>
      </c>
    </row>
    <row r="384" ht="14.25" customHeight="1" spans="2:4">
      <c r="B384" s="136">
        <v>45750</v>
      </c>
      <c r="C384" s="128">
        <v>23250.1</v>
      </c>
      <c r="D384" s="129">
        <f t="shared" si="7"/>
        <v>-0.0148666027242893</v>
      </c>
    </row>
    <row r="385" ht="14.25" customHeight="1" spans="2:4">
      <c r="B385" s="136">
        <v>45749</v>
      </c>
      <c r="C385" s="128">
        <v>23332.35</v>
      </c>
      <c r="D385" s="129">
        <f t="shared" si="7"/>
        <v>-0.00352514855983221</v>
      </c>
    </row>
    <row r="386" ht="14.25" customHeight="1" spans="2:4">
      <c r="B386" s="136">
        <v>45748</v>
      </c>
      <c r="C386" s="128">
        <v>23165.7</v>
      </c>
      <c r="D386" s="129">
        <f t="shared" ref="D386:D449" si="8">C385/C386-1</f>
        <v>0.00719382535386348</v>
      </c>
    </row>
    <row r="387" ht="14.25" customHeight="1" spans="2:4">
      <c r="B387" s="136">
        <v>45744</v>
      </c>
      <c r="C387" s="128">
        <v>23519.35</v>
      </c>
      <c r="D387" s="129">
        <f t="shared" si="8"/>
        <v>-0.0150365550068347</v>
      </c>
    </row>
    <row r="388" ht="14.25" customHeight="1" spans="2:4">
      <c r="B388" s="136">
        <v>45743</v>
      </c>
      <c r="C388" s="128">
        <v>23591.95</v>
      </c>
      <c r="D388" s="129">
        <f t="shared" si="8"/>
        <v>-0.00307732086580392</v>
      </c>
    </row>
    <row r="389" ht="14.25" customHeight="1" spans="2:4">
      <c r="B389" s="136">
        <v>45742</v>
      </c>
      <c r="C389" s="128">
        <v>23486.85</v>
      </c>
      <c r="D389" s="129">
        <f t="shared" si="8"/>
        <v>0.00447484443422597</v>
      </c>
    </row>
    <row r="390" ht="14.25" customHeight="1" spans="2:4">
      <c r="B390" s="136">
        <v>45741</v>
      </c>
      <c r="C390" s="128">
        <v>23668.65</v>
      </c>
      <c r="D390" s="129">
        <f t="shared" si="8"/>
        <v>-0.0076810464475161</v>
      </c>
    </row>
    <row r="391" ht="14.25" customHeight="1" spans="2:4">
      <c r="B391" s="136">
        <v>45740</v>
      </c>
      <c r="C391" s="128">
        <v>23658.35</v>
      </c>
      <c r="D391" s="129">
        <f t="shared" si="8"/>
        <v>0.000435364258285276</v>
      </c>
    </row>
    <row r="392" ht="14.25" customHeight="1" spans="2:4">
      <c r="B392" s="136">
        <v>45737</v>
      </c>
      <c r="C392" s="128">
        <v>23350.4</v>
      </c>
      <c r="D392" s="129">
        <f t="shared" si="8"/>
        <v>0.0131882109085923</v>
      </c>
    </row>
    <row r="393" ht="14.25" customHeight="1" spans="2:4">
      <c r="B393" s="136">
        <v>45736</v>
      </c>
      <c r="C393" s="128">
        <v>23190.65</v>
      </c>
      <c r="D393" s="129">
        <f t="shared" si="8"/>
        <v>0.00688855206732031</v>
      </c>
    </row>
    <row r="394" ht="14.25" customHeight="1" spans="2:4">
      <c r="B394" s="136">
        <v>45735</v>
      </c>
      <c r="C394" s="128">
        <v>22907.6</v>
      </c>
      <c r="D394" s="129">
        <f t="shared" si="8"/>
        <v>0.0123561612739878</v>
      </c>
    </row>
    <row r="395" ht="14.25" customHeight="1" spans="2:4">
      <c r="B395" s="136">
        <v>45734</v>
      </c>
      <c r="C395" s="128">
        <v>22834.3</v>
      </c>
      <c r="D395" s="129">
        <f t="shared" si="8"/>
        <v>0.00321008307677473</v>
      </c>
    </row>
    <row r="396" ht="14.25" customHeight="1" spans="2:4">
      <c r="B396" s="136">
        <v>45733</v>
      </c>
      <c r="C396" s="128">
        <v>22508.75</v>
      </c>
      <c r="D396" s="129">
        <f t="shared" si="8"/>
        <v>0.0144632642861109</v>
      </c>
    </row>
    <row r="397" ht="14.25" customHeight="1" spans="2:4">
      <c r="B397" s="136">
        <v>45729</v>
      </c>
      <c r="C397" s="128">
        <v>22397.2</v>
      </c>
      <c r="D397" s="129">
        <f t="shared" si="8"/>
        <v>0.00498053328094583</v>
      </c>
    </row>
    <row r="398" ht="14.25" customHeight="1" spans="2:4">
      <c r="B398" s="136">
        <v>45728</v>
      </c>
      <c r="C398" s="128">
        <v>22470.5</v>
      </c>
      <c r="D398" s="129">
        <f t="shared" si="8"/>
        <v>-0.00326205469393204</v>
      </c>
    </row>
    <row r="399" ht="14.25" customHeight="1" spans="2:4">
      <c r="B399" s="136">
        <v>45727</v>
      </c>
      <c r="C399" s="128">
        <v>22497.9</v>
      </c>
      <c r="D399" s="129">
        <f t="shared" si="8"/>
        <v>-0.00121789144764628</v>
      </c>
    </row>
    <row r="400" ht="14.25" customHeight="1" spans="2:4">
      <c r="B400" s="136">
        <v>45726</v>
      </c>
      <c r="C400" s="128">
        <v>22460.3</v>
      </c>
      <c r="D400" s="129">
        <f t="shared" si="8"/>
        <v>0.00167406490563349</v>
      </c>
    </row>
    <row r="401" ht="14.25" customHeight="1" spans="2:4">
      <c r="B401" s="136">
        <v>45723</v>
      </c>
      <c r="C401" s="128">
        <v>22552.5</v>
      </c>
      <c r="D401" s="129">
        <f t="shared" si="8"/>
        <v>-0.00408823855448404</v>
      </c>
    </row>
    <row r="402" ht="14.25" customHeight="1" spans="2:4">
      <c r="B402" s="136">
        <v>45722</v>
      </c>
      <c r="C402" s="128">
        <v>22544.7</v>
      </c>
      <c r="D402" s="129">
        <f t="shared" si="8"/>
        <v>0.000345979321082046</v>
      </c>
    </row>
    <row r="403" ht="14.25" customHeight="1" spans="2:4">
      <c r="B403" s="136">
        <v>45721</v>
      </c>
      <c r="C403" s="128">
        <v>22337.3</v>
      </c>
      <c r="D403" s="129">
        <f t="shared" si="8"/>
        <v>0.00928491805186837</v>
      </c>
    </row>
    <row r="404" ht="14.25" customHeight="1" spans="2:4">
      <c r="B404" s="136">
        <v>45720</v>
      </c>
      <c r="C404" s="128">
        <v>22082.65</v>
      </c>
      <c r="D404" s="129">
        <f t="shared" si="8"/>
        <v>0.0115316775839855</v>
      </c>
    </row>
    <row r="405" ht="14.25" customHeight="1" spans="2:4">
      <c r="B405" s="136">
        <v>45719</v>
      </c>
      <c r="C405" s="128">
        <v>22119.3</v>
      </c>
      <c r="D405" s="129">
        <f t="shared" si="8"/>
        <v>-0.00165692404370832</v>
      </c>
    </row>
    <row r="406" ht="14.25" customHeight="1" spans="2:4">
      <c r="B406" s="136">
        <v>45716</v>
      </c>
      <c r="C406" s="128">
        <v>22124.7</v>
      </c>
      <c r="D406" s="129">
        <f t="shared" si="8"/>
        <v>-0.00024407110604896</v>
      </c>
    </row>
    <row r="407" ht="14.25" customHeight="1" spans="2:4">
      <c r="B407" s="136">
        <v>45715</v>
      </c>
      <c r="C407" s="128">
        <v>22545.05</v>
      </c>
      <c r="D407" s="129">
        <f t="shared" si="8"/>
        <v>-0.0186448910071167</v>
      </c>
    </row>
    <row r="408" ht="14.25" customHeight="1" spans="2:4">
      <c r="B408" s="136">
        <v>45713</v>
      </c>
      <c r="C408" s="128">
        <v>22547.55</v>
      </c>
      <c r="D408" s="129">
        <f t="shared" si="8"/>
        <v>-0.000110876791491799</v>
      </c>
    </row>
    <row r="409" ht="14.25" customHeight="1" spans="2:4">
      <c r="B409" s="136">
        <v>45712</v>
      </c>
      <c r="C409" s="128">
        <v>22553.35</v>
      </c>
      <c r="D409" s="129">
        <f t="shared" si="8"/>
        <v>-0.000257168003866326</v>
      </c>
    </row>
    <row r="410" ht="14.25" customHeight="1" spans="2:4">
      <c r="B410" s="136">
        <v>45709</v>
      </c>
      <c r="C410" s="128">
        <v>22795.9</v>
      </c>
      <c r="D410" s="129">
        <f t="shared" si="8"/>
        <v>-0.0106400712408812</v>
      </c>
    </row>
    <row r="411" ht="14.25" customHeight="1" spans="2:4">
      <c r="B411" s="136">
        <v>45708</v>
      </c>
      <c r="C411" s="128">
        <v>22913.15</v>
      </c>
      <c r="D411" s="129">
        <f t="shared" si="8"/>
        <v>-0.00511714888612003</v>
      </c>
    </row>
    <row r="412" ht="14.25" customHeight="1" spans="2:4">
      <c r="B412" s="136">
        <v>45707</v>
      </c>
      <c r="C412" s="128">
        <v>22932.9</v>
      </c>
      <c r="D412" s="129">
        <f t="shared" si="8"/>
        <v>-0.000861208133293268</v>
      </c>
    </row>
    <row r="413" ht="14.25" customHeight="1" spans="2:4">
      <c r="B413" s="136">
        <v>45706</v>
      </c>
      <c r="C413" s="128">
        <v>22945.3</v>
      </c>
      <c r="D413" s="129">
        <f t="shared" si="8"/>
        <v>-0.000540415684257667</v>
      </c>
    </row>
    <row r="414" ht="14.25" customHeight="1" spans="2:4">
      <c r="B414" s="136">
        <v>45705</v>
      </c>
      <c r="C414" s="128">
        <v>22959.5</v>
      </c>
      <c r="D414" s="129">
        <f t="shared" si="8"/>
        <v>-0.000618480367603813</v>
      </c>
    </row>
    <row r="415" ht="14.25" customHeight="1" spans="2:4">
      <c r="B415" s="136">
        <v>45702</v>
      </c>
      <c r="C415" s="128">
        <v>22929.25</v>
      </c>
      <c r="D415" s="129">
        <f t="shared" si="8"/>
        <v>0.00131927559776268</v>
      </c>
    </row>
    <row r="416" ht="14.25" customHeight="1" spans="2:4">
      <c r="B416" s="136">
        <v>45701</v>
      </c>
      <c r="C416" s="128">
        <v>23031.4</v>
      </c>
      <c r="D416" s="129">
        <f t="shared" si="8"/>
        <v>-0.00443524926839023</v>
      </c>
    </row>
    <row r="417" ht="14.25" customHeight="1" spans="2:4">
      <c r="B417" s="136">
        <v>45700</v>
      </c>
      <c r="C417" s="128">
        <v>23045.25</v>
      </c>
      <c r="D417" s="129">
        <f t="shared" si="8"/>
        <v>-0.000600991527538119</v>
      </c>
    </row>
    <row r="418" ht="14.25" customHeight="1" spans="2:4">
      <c r="B418" s="136">
        <v>45699</v>
      </c>
      <c r="C418" s="128">
        <v>23071.8</v>
      </c>
      <c r="D418" s="129">
        <f t="shared" si="8"/>
        <v>-0.00115075546771382</v>
      </c>
    </row>
    <row r="419" ht="14.25" customHeight="1" spans="2:4">
      <c r="B419" s="136">
        <v>45698</v>
      </c>
      <c r="C419" s="128">
        <v>23381.6</v>
      </c>
      <c r="D419" s="129">
        <f t="shared" si="8"/>
        <v>-0.0132497348342286</v>
      </c>
    </row>
    <row r="420" ht="14.25" customHeight="1" spans="2:4">
      <c r="B420" s="136">
        <v>45695</v>
      </c>
      <c r="C420" s="128">
        <v>23559.95</v>
      </c>
      <c r="D420" s="129">
        <f t="shared" si="8"/>
        <v>-0.00757005002132871</v>
      </c>
    </row>
    <row r="421" ht="14.25" customHeight="1" spans="2:4">
      <c r="B421" s="136">
        <v>45694</v>
      </c>
      <c r="C421" s="128">
        <v>23603.35</v>
      </c>
      <c r="D421" s="129">
        <f t="shared" si="8"/>
        <v>-0.00183872204581115</v>
      </c>
    </row>
    <row r="422" ht="14.25" customHeight="1" spans="2:4">
      <c r="B422" s="136">
        <v>45693</v>
      </c>
      <c r="C422" s="128">
        <v>23696.3</v>
      </c>
      <c r="D422" s="129">
        <f t="shared" si="8"/>
        <v>-0.00392255331001046</v>
      </c>
    </row>
    <row r="423" ht="14.25" customHeight="1" spans="2:4">
      <c r="B423" s="136">
        <v>45692</v>
      </c>
      <c r="C423" s="128">
        <v>23739.25</v>
      </c>
      <c r="D423" s="129">
        <f t="shared" si="8"/>
        <v>-0.00180923997177673</v>
      </c>
    </row>
    <row r="424" ht="14.25" customHeight="1" spans="2:4">
      <c r="B424" s="136">
        <v>45691</v>
      </c>
      <c r="C424" s="128">
        <v>23361.05</v>
      </c>
      <c r="D424" s="129">
        <f t="shared" si="8"/>
        <v>0.0161893408044587</v>
      </c>
    </row>
    <row r="425" ht="14.25" customHeight="1" spans="2:4">
      <c r="B425" s="136">
        <v>45689</v>
      </c>
      <c r="C425" s="128">
        <v>23482.15</v>
      </c>
      <c r="D425" s="129">
        <f t="shared" si="8"/>
        <v>-0.00515710869745756</v>
      </c>
    </row>
    <row r="426" ht="14.25" customHeight="1" spans="2:4">
      <c r="B426" s="136">
        <v>45688</v>
      </c>
      <c r="C426" s="128">
        <v>23508.4</v>
      </c>
      <c r="D426" s="129">
        <f t="shared" si="8"/>
        <v>-0.00111662214357422</v>
      </c>
    </row>
    <row r="427" ht="14.25" customHeight="1" spans="2:4">
      <c r="B427" s="136">
        <v>45687</v>
      </c>
      <c r="C427" s="128">
        <v>23249.5</v>
      </c>
      <c r="D427" s="129">
        <f t="shared" si="8"/>
        <v>0.0111357233488893</v>
      </c>
    </row>
    <row r="428" ht="14.25" customHeight="1" spans="2:4">
      <c r="B428" s="136">
        <v>45686</v>
      </c>
      <c r="C428" s="128">
        <v>23163.1</v>
      </c>
      <c r="D428" s="129">
        <f t="shared" si="8"/>
        <v>0.00373007067275122</v>
      </c>
    </row>
    <row r="429" ht="14.25" customHeight="1" spans="2:4">
      <c r="B429" s="136">
        <v>45685</v>
      </c>
      <c r="C429" s="128">
        <v>22957.25</v>
      </c>
      <c r="D429" s="129">
        <f t="shared" si="8"/>
        <v>0.00896666630367315</v>
      </c>
    </row>
    <row r="430" ht="14.25" customHeight="1" spans="2:4">
      <c r="B430" s="136">
        <v>45684</v>
      </c>
      <c r="C430" s="128">
        <v>22829.15</v>
      </c>
      <c r="D430" s="129">
        <f t="shared" si="8"/>
        <v>0.00561124702408966</v>
      </c>
    </row>
    <row r="431" ht="14.25" customHeight="1" spans="2:4">
      <c r="B431" s="136">
        <v>45681</v>
      </c>
      <c r="C431" s="128">
        <v>23092.2</v>
      </c>
      <c r="D431" s="129">
        <f t="shared" si="8"/>
        <v>-0.0113912922978321</v>
      </c>
    </row>
    <row r="432" ht="14.25" customHeight="1" spans="2:4">
      <c r="B432" s="136">
        <v>45680</v>
      </c>
      <c r="C432" s="128">
        <v>23205.35</v>
      </c>
      <c r="D432" s="129">
        <f t="shared" si="8"/>
        <v>-0.00487603074291043</v>
      </c>
    </row>
    <row r="433" ht="14.25" customHeight="1" spans="2:4">
      <c r="B433" s="136">
        <v>45679</v>
      </c>
      <c r="C433" s="128">
        <v>23155.35</v>
      </c>
      <c r="D433" s="129">
        <f t="shared" si="8"/>
        <v>0.00215932818981357</v>
      </c>
    </row>
    <row r="434" ht="14.25" customHeight="1" spans="2:4">
      <c r="B434" s="136">
        <v>45678</v>
      </c>
      <c r="C434" s="128">
        <v>23024.65</v>
      </c>
      <c r="D434" s="129">
        <f t="shared" si="8"/>
        <v>0.0056765249417472</v>
      </c>
    </row>
    <row r="435" ht="14.25" customHeight="1" spans="2:4">
      <c r="B435" s="136">
        <v>45677</v>
      </c>
      <c r="C435" s="128">
        <v>23344.75</v>
      </c>
      <c r="D435" s="129">
        <f t="shared" si="8"/>
        <v>-0.0137118624101779</v>
      </c>
    </row>
    <row r="436" ht="14.25" customHeight="1" spans="2:4">
      <c r="B436" s="136">
        <v>45674</v>
      </c>
      <c r="C436" s="128">
        <v>23203.2</v>
      </c>
      <c r="D436" s="129">
        <f t="shared" si="8"/>
        <v>0.0061004516618397</v>
      </c>
    </row>
    <row r="437" ht="14.25" customHeight="1" spans="2:4">
      <c r="B437" s="136">
        <v>45673</v>
      </c>
      <c r="C437" s="128">
        <v>23311.8</v>
      </c>
      <c r="D437" s="129">
        <f t="shared" si="8"/>
        <v>-0.00465858492265714</v>
      </c>
    </row>
    <row r="438" ht="14.25" customHeight="1" spans="2:4">
      <c r="B438" s="136">
        <v>45672</v>
      </c>
      <c r="C438" s="128">
        <v>23213.2</v>
      </c>
      <c r="D438" s="129">
        <f t="shared" si="8"/>
        <v>0.0042475832715867</v>
      </c>
    </row>
    <row r="439" ht="14.25" customHeight="1" spans="2:4">
      <c r="B439" s="136">
        <v>45671</v>
      </c>
      <c r="C439" s="128">
        <v>23176.05</v>
      </c>
      <c r="D439" s="129">
        <f t="shared" si="8"/>
        <v>0.00160294787075466</v>
      </c>
    </row>
    <row r="440" ht="14.25" customHeight="1" spans="2:4">
      <c r="B440" s="136">
        <v>45670</v>
      </c>
      <c r="C440" s="128">
        <v>23085.95</v>
      </c>
      <c r="D440" s="129">
        <f t="shared" si="8"/>
        <v>0.0039028066854514</v>
      </c>
    </row>
    <row r="441" ht="14.25" customHeight="1" spans="2:4">
      <c r="B441" s="136">
        <v>45667</v>
      </c>
      <c r="C441" s="128">
        <v>23431.5</v>
      </c>
      <c r="D441" s="129">
        <f t="shared" si="8"/>
        <v>-0.0147472419606085</v>
      </c>
    </row>
    <row r="442" ht="14.25" customHeight="1" spans="2:4">
      <c r="B442" s="136">
        <v>45666</v>
      </c>
      <c r="C442" s="128">
        <v>23526.5</v>
      </c>
      <c r="D442" s="129">
        <f t="shared" si="8"/>
        <v>-0.00403799970246321</v>
      </c>
    </row>
    <row r="443" ht="14.25" customHeight="1" spans="2:4">
      <c r="B443" s="136">
        <v>45665</v>
      </c>
      <c r="C443" s="128">
        <v>23688.95</v>
      </c>
      <c r="D443" s="129">
        <f t="shared" si="8"/>
        <v>-0.00685762771249887</v>
      </c>
    </row>
    <row r="444" ht="14.25" customHeight="1" spans="2:4">
      <c r="B444" s="136">
        <v>45664</v>
      </c>
      <c r="C444" s="128">
        <v>23707.9</v>
      </c>
      <c r="D444" s="129">
        <f t="shared" si="8"/>
        <v>-0.000799311621864418</v>
      </c>
    </row>
    <row r="445" ht="14.25" customHeight="1" spans="2:4">
      <c r="B445" s="136">
        <v>45663</v>
      </c>
      <c r="C445" s="128">
        <v>23616.05</v>
      </c>
      <c r="D445" s="129">
        <f t="shared" si="8"/>
        <v>0.00388930409615496</v>
      </c>
    </row>
    <row r="446" ht="14.25" customHeight="1" spans="2:4">
      <c r="B446" s="136">
        <v>45660</v>
      </c>
      <c r="C446" s="128">
        <v>24004.75</v>
      </c>
      <c r="D446" s="129">
        <f t="shared" si="8"/>
        <v>-0.0161926285422677</v>
      </c>
    </row>
    <row r="447" ht="14.25" customHeight="1" spans="2:4">
      <c r="B447" s="136">
        <v>45659</v>
      </c>
      <c r="C447" s="128">
        <v>24188.65</v>
      </c>
      <c r="D447" s="129">
        <f t="shared" si="8"/>
        <v>-0.00760273930128397</v>
      </c>
    </row>
    <row r="448" ht="14.25" customHeight="1" spans="2:4">
      <c r="B448" s="136">
        <v>45658</v>
      </c>
      <c r="C448" s="128">
        <v>23742.9</v>
      </c>
      <c r="D448" s="129">
        <f t="shared" si="8"/>
        <v>0.0187740335005413</v>
      </c>
    </row>
    <row r="449" ht="14.25" customHeight="1" spans="2:4">
      <c r="B449" s="136">
        <v>45657</v>
      </c>
      <c r="C449" s="128">
        <v>23644.8</v>
      </c>
      <c r="D449" s="129">
        <f t="shared" si="8"/>
        <v>0.00414890377588306</v>
      </c>
    </row>
    <row r="450" ht="14.25" customHeight="1" spans="2:4">
      <c r="B450" s="136">
        <v>45656</v>
      </c>
      <c r="C450" s="128">
        <v>23644.9</v>
      </c>
      <c r="D450" s="129">
        <f t="shared" ref="D450:D513" si="9">C449/C450-1</f>
        <v>-4.22924182386097e-6</v>
      </c>
    </row>
    <row r="451" ht="14.25" customHeight="1" spans="2:4">
      <c r="B451" s="136">
        <v>45653</v>
      </c>
      <c r="C451" s="128">
        <v>23813.4</v>
      </c>
      <c r="D451" s="129">
        <f t="shared" si="9"/>
        <v>-0.00707584805193717</v>
      </c>
    </row>
    <row r="452" ht="14.25" customHeight="1" spans="2:4">
      <c r="B452" s="136">
        <v>45652</v>
      </c>
      <c r="C452" s="128">
        <v>23750.2</v>
      </c>
      <c r="D452" s="129">
        <f t="shared" si="9"/>
        <v>0.00266103022290332</v>
      </c>
    </row>
    <row r="453" ht="14.25" customHeight="1" spans="2:4">
      <c r="B453" s="136">
        <v>45650</v>
      </c>
      <c r="C453" s="128">
        <v>23727.65</v>
      </c>
      <c r="D453" s="129">
        <f t="shared" si="9"/>
        <v>0.000950368030546711</v>
      </c>
    </row>
    <row r="454" ht="14.25" customHeight="1" spans="2:4">
      <c r="B454" s="136">
        <v>45649</v>
      </c>
      <c r="C454" s="128">
        <v>23753.45</v>
      </c>
      <c r="D454" s="129">
        <f t="shared" si="9"/>
        <v>-0.00108615801073109</v>
      </c>
    </row>
    <row r="455" ht="14.25" customHeight="1" spans="2:4">
      <c r="B455" s="136">
        <v>45646</v>
      </c>
      <c r="C455" s="128">
        <v>23587.5</v>
      </c>
      <c r="D455" s="129">
        <f t="shared" si="9"/>
        <v>0.00703550609432968</v>
      </c>
    </row>
    <row r="456" ht="14.25" customHeight="1" spans="2:4">
      <c r="B456" s="136">
        <v>45645</v>
      </c>
      <c r="C456" s="128">
        <v>23951.7</v>
      </c>
      <c r="D456" s="129">
        <f t="shared" si="9"/>
        <v>-0.0152056012725611</v>
      </c>
    </row>
    <row r="457" ht="14.25" customHeight="1" spans="2:4">
      <c r="B457" s="136">
        <v>45644</v>
      </c>
      <c r="C457" s="128">
        <v>24198.85</v>
      </c>
      <c r="D457" s="129">
        <f t="shared" si="9"/>
        <v>-0.0102132952598987</v>
      </c>
    </row>
    <row r="458" ht="14.25" customHeight="1" spans="2:4">
      <c r="B458" s="136">
        <v>45643</v>
      </c>
      <c r="C458" s="128">
        <v>24336</v>
      </c>
      <c r="D458" s="129">
        <f t="shared" si="9"/>
        <v>-0.0056356837606838</v>
      </c>
    </row>
    <row r="459" ht="14.25" customHeight="1" spans="2:4">
      <c r="B459" s="136">
        <v>45642</v>
      </c>
      <c r="C459" s="128">
        <v>24668.25</v>
      </c>
      <c r="D459" s="129">
        <f t="shared" si="9"/>
        <v>-0.0134687300477334</v>
      </c>
    </row>
    <row r="460" ht="14.25" customHeight="1" spans="2:4">
      <c r="B460" s="136">
        <v>45639</v>
      </c>
      <c r="C460" s="128">
        <v>24768.3</v>
      </c>
      <c r="D460" s="129">
        <f t="shared" si="9"/>
        <v>-0.00403943750681313</v>
      </c>
    </row>
    <row r="461" ht="14.25" customHeight="1" spans="2:4">
      <c r="B461" s="136">
        <v>45638</v>
      </c>
      <c r="C461" s="128">
        <v>24548.7</v>
      </c>
      <c r="D461" s="129">
        <f t="shared" si="9"/>
        <v>0.0089454838749099</v>
      </c>
    </row>
    <row r="462" ht="14.25" customHeight="1" spans="2:4">
      <c r="B462" s="136">
        <v>45637</v>
      </c>
      <c r="C462" s="128">
        <v>24641.8</v>
      </c>
      <c r="D462" s="129">
        <f t="shared" si="9"/>
        <v>-0.00377813309092678</v>
      </c>
    </row>
    <row r="463" ht="14.25" customHeight="1" spans="2:4">
      <c r="B463" s="136">
        <v>45636</v>
      </c>
      <c r="C463" s="128">
        <v>24610.05</v>
      </c>
      <c r="D463" s="129">
        <f t="shared" si="9"/>
        <v>0.00129012334391843</v>
      </c>
    </row>
    <row r="464" ht="14.25" customHeight="1" spans="2:4">
      <c r="B464" s="136">
        <v>45635</v>
      </c>
      <c r="C464" s="128">
        <v>24619</v>
      </c>
      <c r="D464" s="129">
        <f t="shared" si="9"/>
        <v>-0.000363540355010405</v>
      </c>
    </row>
    <row r="465" ht="14.25" customHeight="1" spans="2:4">
      <c r="B465" s="136">
        <v>45632</v>
      </c>
      <c r="C465" s="128">
        <v>24677.8</v>
      </c>
      <c r="D465" s="129">
        <f t="shared" si="9"/>
        <v>-0.00238270834515231</v>
      </c>
    </row>
    <row r="466" ht="14.25" customHeight="1" spans="2:4">
      <c r="B466" s="136">
        <v>45631</v>
      </c>
      <c r="C466" s="128">
        <v>24708.4</v>
      </c>
      <c r="D466" s="129">
        <f t="shared" si="9"/>
        <v>-0.00123844522510574</v>
      </c>
    </row>
    <row r="467" ht="14.25" customHeight="1" spans="2:4">
      <c r="B467" s="136">
        <v>45630</v>
      </c>
      <c r="C467" s="128">
        <v>24467.45</v>
      </c>
      <c r="D467" s="129">
        <f t="shared" si="9"/>
        <v>0.00984777735317732</v>
      </c>
    </row>
    <row r="468" ht="14.25" customHeight="1" spans="2:4">
      <c r="B468" s="136">
        <v>45629</v>
      </c>
      <c r="C468" s="128">
        <v>24457.15</v>
      </c>
      <c r="D468" s="129">
        <f t="shared" si="9"/>
        <v>0.000421144736815204</v>
      </c>
    </row>
    <row r="469" ht="14.25" customHeight="1" spans="2:4">
      <c r="B469" s="136">
        <v>45628</v>
      </c>
      <c r="C469" s="128">
        <v>24276.05</v>
      </c>
      <c r="D469" s="129">
        <f t="shared" si="9"/>
        <v>0.00746002747563956</v>
      </c>
    </row>
    <row r="470" ht="14.25" customHeight="1" spans="2:4">
      <c r="B470" s="136">
        <v>45625</v>
      </c>
      <c r="C470" s="128">
        <v>24131.1</v>
      </c>
      <c r="D470" s="129">
        <f t="shared" si="9"/>
        <v>0.00600677134486216</v>
      </c>
    </row>
    <row r="471" ht="14.25" customHeight="1" spans="2:4">
      <c r="B471" s="136">
        <v>45624</v>
      </c>
      <c r="C471" s="128">
        <v>23914.15</v>
      </c>
      <c r="D471" s="129">
        <f t="shared" si="9"/>
        <v>0.00907203475766427</v>
      </c>
    </row>
    <row r="472" ht="14.25" customHeight="1" spans="2:4">
      <c r="B472" s="136">
        <v>45623</v>
      </c>
      <c r="C472" s="128">
        <v>24274.9</v>
      </c>
      <c r="D472" s="129">
        <f t="shared" si="9"/>
        <v>-0.0148610292936325</v>
      </c>
    </row>
    <row r="473" ht="14.25" customHeight="1" spans="2:4">
      <c r="B473" s="136">
        <v>45622</v>
      </c>
      <c r="C473" s="128">
        <v>24194.5</v>
      </c>
      <c r="D473" s="129">
        <f t="shared" si="9"/>
        <v>0.00332306929260784</v>
      </c>
    </row>
    <row r="474" ht="14.25" customHeight="1" spans="2:4">
      <c r="B474" s="136">
        <v>45621</v>
      </c>
      <c r="C474" s="128">
        <v>24221.9</v>
      </c>
      <c r="D474" s="129">
        <f t="shared" si="9"/>
        <v>-0.00113120770872643</v>
      </c>
    </row>
    <row r="475" ht="14.25" customHeight="1" spans="2:4">
      <c r="B475" s="136">
        <v>45618</v>
      </c>
      <c r="C475" s="128">
        <v>23907.25</v>
      </c>
      <c r="D475" s="129">
        <f t="shared" si="9"/>
        <v>0.0131612795281766</v>
      </c>
    </row>
    <row r="476" ht="14.25" customHeight="1" spans="2:4">
      <c r="B476" s="136">
        <v>45617</v>
      </c>
      <c r="C476" s="128">
        <v>23349.9</v>
      </c>
      <c r="D476" s="129">
        <f t="shared" si="9"/>
        <v>0.0238694812397482</v>
      </c>
    </row>
    <row r="477" ht="14.25" customHeight="1" spans="2:4">
      <c r="B477" s="136">
        <v>45615</v>
      </c>
      <c r="C477" s="128">
        <v>23518.5</v>
      </c>
      <c r="D477" s="129">
        <f t="shared" si="9"/>
        <v>-0.00716882454238144</v>
      </c>
    </row>
    <row r="478" ht="14.25" customHeight="1" spans="2:4">
      <c r="B478" s="136">
        <v>45614</v>
      </c>
      <c r="C478" s="128">
        <v>23453.8</v>
      </c>
      <c r="D478" s="129">
        <f t="shared" si="9"/>
        <v>0.00275861480868778</v>
      </c>
    </row>
    <row r="479" ht="14.25" customHeight="1" spans="2:4">
      <c r="B479" s="136">
        <v>45610</v>
      </c>
      <c r="C479" s="128">
        <v>23532.7</v>
      </c>
      <c r="D479" s="129">
        <f t="shared" si="9"/>
        <v>-0.00335278144879259</v>
      </c>
    </row>
    <row r="480" ht="14.25" customHeight="1" spans="2:4">
      <c r="B480" s="136">
        <v>45609</v>
      </c>
      <c r="C480" s="128">
        <v>23559.05</v>
      </c>
      <c r="D480" s="129">
        <f t="shared" si="9"/>
        <v>-0.00111846615207312</v>
      </c>
    </row>
    <row r="481" ht="14.25" customHeight="1" spans="2:4">
      <c r="B481" s="136">
        <v>45608</v>
      </c>
      <c r="C481" s="128">
        <v>23883.45</v>
      </c>
      <c r="D481" s="129">
        <f t="shared" si="9"/>
        <v>-0.0135826273004948</v>
      </c>
    </row>
    <row r="482" ht="14.25" customHeight="1" spans="2:4">
      <c r="B482" s="136">
        <v>45607</v>
      </c>
      <c r="C482" s="128">
        <v>24141.3</v>
      </c>
      <c r="D482" s="129">
        <f t="shared" si="9"/>
        <v>-0.0106808663990754</v>
      </c>
    </row>
    <row r="483" ht="14.25" customHeight="1" spans="2:4">
      <c r="B483" s="136">
        <v>45604</v>
      </c>
      <c r="C483" s="128">
        <v>24148.2</v>
      </c>
      <c r="D483" s="129">
        <f t="shared" si="9"/>
        <v>-0.000285735582776447</v>
      </c>
    </row>
    <row r="484" ht="14.25" customHeight="1" spans="2:4">
      <c r="B484" s="136">
        <v>45603</v>
      </c>
      <c r="C484" s="128">
        <v>24199.35</v>
      </c>
      <c r="D484" s="129">
        <f t="shared" si="9"/>
        <v>-0.00211369313638576</v>
      </c>
    </row>
    <row r="485" ht="14.25" customHeight="1" spans="2:4">
      <c r="B485" s="136">
        <v>45602</v>
      </c>
      <c r="C485" s="128">
        <v>24484.05</v>
      </c>
      <c r="D485" s="129">
        <f t="shared" si="9"/>
        <v>-0.0116279782143885</v>
      </c>
    </row>
    <row r="486" ht="14.25" customHeight="1" spans="2:4">
      <c r="B486" s="136">
        <v>45601</v>
      </c>
      <c r="C486" s="128">
        <v>24213.3</v>
      </c>
      <c r="D486" s="129">
        <f t="shared" si="9"/>
        <v>0.0111818711204172</v>
      </c>
    </row>
    <row r="487" ht="14.25" customHeight="1" spans="2:4">
      <c r="B487" s="136">
        <v>45600</v>
      </c>
      <c r="C487" s="128">
        <v>23995.35</v>
      </c>
      <c r="D487" s="129">
        <f t="shared" si="9"/>
        <v>0.00908300983315513</v>
      </c>
    </row>
    <row r="488" ht="14.25" customHeight="1" spans="2:4">
      <c r="B488" s="136">
        <v>45597</v>
      </c>
      <c r="C488" s="128">
        <v>24304.35</v>
      </c>
      <c r="D488" s="129">
        <f t="shared" si="9"/>
        <v>-0.0127137734603064</v>
      </c>
    </row>
    <row r="489" ht="14.25" customHeight="1" spans="2:4">
      <c r="B489" s="136">
        <v>45596</v>
      </c>
      <c r="C489" s="128">
        <v>24205.35</v>
      </c>
      <c r="D489" s="129">
        <f t="shared" si="9"/>
        <v>0.00409000489561184</v>
      </c>
    </row>
    <row r="490" ht="14.25" customHeight="1" spans="2:4">
      <c r="B490" s="136">
        <v>45595</v>
      </c>
      <c r="C490" s="128">
        <v>24340.85</v>
      </c>
      <c r="D490" s="129">
        <f t="shared" si="9"/>
        <v>-0.00556677355145774</v>
      </c>
    </row>
    <row r="491" ht="14.25" customHeight="1" spans="2:4">
      <c r="B491" s="136">
        <v>45594</v>
      </c>
      <c r="C491" s="128">
        <v>24466.85</v>
      </c>
      <c r="D491" s="129">
        <f t="shared" si="9"/>
        <v>-0.00514982517160978</v>
      </c>
    </row>
    <row r="492" ht="14.25" customHeight="1" spans="2:4">
      <c r="B492" s="136">
        <v>45593</v>
      </c>
      <c r="C492" s="128">
        <v>24339.15</v>
      </c>
      <c r="D492" s="129">
        <f t="shared" si="9"/>
        <v>0.00524669103070563</v>
      </c>
    </row>
    <row r="493" ht="14.25" customHeight="1" spans="2:4">
      <c r="B493" s="136">
        <v>45590</v>
      </c>
      <c r="C493" s="128">
        <v>24180.8</v>
      </c>
      <c r="D493" s="129">
        <f t="shared" si="9"/>
        <v>0.00654858400052949</v>
      </c>
    </row>
    <row r="494" ht="14.25" customHeight="1" spans="2:4">
      <c r="B494" s="136">
        <v>45589</v>
      </c>
      <c r="C494" s="128">
        <v>24399.4</v>
      </c>
      <c r="D494" s="129">
        <f t="shared" si="9"/>
        <v>-0.00895923670254195</v>
      </c>
    </row>
    <row r="495" ht="14.25" customHeight="1" spans="2:4">
      <c r="B495" s="136">
        <v>45588</v>
      </c>
      <c r="C495" s="128">
        <v>24435.5</v>
      </c>
      <c r="D495" s="129">
        <f t="shared" si="9"/>
        <v>-0.00147735876081923</v>
      </c>
    </row>
    <row r="496" ht="14.25" customHeight="1" spans="2:4">
      <c r="B496" s="136">
        <v>45587</v>
      </c>
      <c r="C496" s="128">
        <v>24472.1</v>
      </c>
      <c r="D496" s="129">
        <f t="shared" si="9"/>
        <v>-0.00149558068167421</v>
      </c>
    </row>
    <row r="497" ht="14.25" customHeight="1" spans="2:4">
      <c r="B497" s="136">
        <v>45586</v>
      </c>
      <c r="C497" s="128">
        <v>24781.1</v>
      </c>
      <c r="D497" s="129">
        <f t="shared" si="9"/>
        <v>-0.0124691801413174</v>
      </c>
    </row>
    <row r="498" ht="14.25" customHeight="1" spans="2:4">
      <c r="B498" s="136">
        <v>45583</v>
      </c>
      <c r="C498" s="128">
        <v>24854.05</v>
      </c>
      <c r="D498" s="129">
        <f t="shared" si="9"/>
        <v>-0.00293513531999823</v>
      </c>
    </row>
    <row r="499" ht="14.25" customHeight="1" spans="2:4">
      <c r="B499" s="136">
        <v>45582</v>
      </c>
      <c r="C499" s="128">
        <v>24749.85</v>
      </c>
      <c r="D499" s="129">
        <f t="shared" si="9"/>
        <v>0.00421012652601949</v>
      </c>
    </row>
    <row r="500" ht="14.25" customHeight="1" spans="2:4">
      <c r="B500" s="136">
        <v>45581</v>
      </c>
      <c r="C500" s="128">
        <v>24971.3</v>
      </c>
      <c r="D500" s="129">
        <f t="shared" si="9"/>
        <v>-0.00886818067141082</v>
      </c>
    </row>
    <row r="501" ht="14.25" customHeight="1" spans="2:4">
      <c r="B501" s="136">
        <v>45580</v>
      </c>
      <c r="C501" s="128">
        <v>25057.35</v>
      </c>
      <c r="D501" s="129">
        <f t="shared" si="9"/>
        <v>-0.00343412212384786</v>
      </c>
    </row>
    <row r="502" ht="14.25" customHeight="1" spans="2:4">
      <c r="B502" s="136">
        <v>45579</v>
      </c>
      <c r="C502" s="128">
        <v>25127.95</v>
      </c>
      <c r="D502" s="129">
        <f t="shared" si="9"/>
        <v>-0.00280962036298238</v>
      </c>
    </row>
    <row r="503" ht="14.25" customHeight="1" spans="2:4">
      <c r="B503" s="136">
        <v>45576</v>
      </c>
      <c r="C503" s="128">
        <v>24964.25</v>
      </c>
      <c r="D503" s="129">
        <f t="shared" si="9"/>
        <v>0.00655737704918025</v>
      </c>
    </row>
    <row r="504" ht="14.25" customHeight="1" spans="2:4">
      <c r="B504" s="136">
        <v>45575</v>
      </c>
      <c r="C504" s="128">
        <v>24998.45</v>
      </c>
      <c r="D504" s="129">
        <f t="shared" si="9"/>
        <v>-0.00136808482125894</v>
      </c>
    </row>
    <row r="505" ht="14.25" customHeight="1" spans="2:4">
      <c r="B505" s="136">
        <v>45574</v>
      </c>
      <c r="C505" s="128">
        <v>24981.95</v>
      </c>
      <c r="D505" s="129">
        <f t="shared" si="9"/>
        <v>0.000660476864295934</v>
      </c>
    </row>
    <row r="506" ht="14.25" customHeight="1" spans="2:4">
      <c r="B506" s="136">
        <v>45573</v>
      </c>
      <c r="C506" s="128">
        <v>25013.15</v>
      </c>
      <c r="D506" s="129">
        <f t="shared" si="9"/>
        <v>-0.00124734389711012</v>
      </c>
    </row>
    <row r="507" ht="14.25" customHeight="1" spans="2:4">
      <c r="B507" s="136">
        <v>45572</v>
      </c>
      <c r="C507" s="128">
        <v>24795.75</v>
      </c>
      <c r="D507" s="129">
        <f t="shared" si="9"/>
        <v>0.00876763154976157</v>
      </c>
    </row>
    <row r="508" ht="14.25" customHeight="1" spans="2:4">
      <c r="B508" s="136">
        <v>45569</v>
      </c>
      <c r="C508" s="128">
        <v>25014.6</v>
      </c>
      <c r="D508" s="129">
        <f t="shared" si="9"/>
        <v>-0.00874889064786155</v>
      </c>
    </row>
    <row r="509" ht="14.25" customHeight="1" spans="2:4">
      <c r="B509" s="136">
        <v>45568</v>
      </c>
      <c r="C509" s="128">
        <v>25250.1</v>
      </c>
      <c r="D509" s="129">
        <f t="shared" si="9"/>
        <v>-0.00932669573585843</v>
      </c>
    </row>
    <row r="510" ht="14.25" customHeight="1" spans="2:4">
      <c r="B510" s="136">
        <v>45566</v>
      </c>
      <c r="C510" s="128">
        <v>25796.9</v>
      </c>
      <c r="D510" s="129">
        <f t="shared" si="9"/>
        <v>-0.0211963452973033</v>
      </c>
    </row>
    <row r="511" ht="14.25" customHeight="1" spans="2:4">
      <c r="B511" s="136">
        <v>45565</v>
      </c>
      <c r="C511" s="128">
        <v>25810.85</v>
      </c>
      <c r="D511" s="129">
        <f t="shared" si="9"/>
        <v>-0.00054047038357885</v>
      </c>
    </row>
    <row r="512" ht="14.25" customHeight="1" spans="2:4">
      <c r="B512" s="136">
        <v>45562</v>
      </c>
      <c r="C512" s="128">
        <v>26178.95</v>
      </c>
      <c r="D512" s="129">
        <f t="shared" si="9"/>
        <v>-0.014060915353748</v>
      </c>
    </row>
    <row r="513" ht="14.25" customHeight="1" spans="2:4">
      <c r="B513" s="136">
        <v>45561</v>
      </c>
      <c r="C513" s="128">
        <v>26216.05</v>
      </c>
      <c r="D513" s="129">
        <f t="shared" si="9"/>
        <v>-0.00141516361160432</v>
      </c>
    </row>
    <row r="514" ht="14.25" customHeight="1" spans="2:4">
      <c r="B514" s="136">
        <v>45560</v>
      </c>
      <c r="C514" s="128">
        <v>26004.15</v>
      </c>
      <c r="D514" s="129">
        <f t="shared" ref="D514:D577" si="10">C513/C514-1</f>
        <v>0.0081486993422204</v>
      </c>
    </row>
    <row r="515" ht="14.25" customHeight="1" spans="2:4">
      <c r="B515" s="136">
        <v>45559</v>
      </c>
      <c r="C515" s="128">
        <v>25940.4</v>
      </c>
      <c r="D515" s="129">
        <f t="shared" si="10"/>
        <v>0.00245755655271318</v>
      </c>
    </row>
    <row r="516" ht="14.25" customHeight="1" spans="2:4">
      <c r="B516" s="136">
        <v>45558</v>
      </c>
      <c r="C516" s="128">
        <v>25939.05</v>
      </c>
      <c r="D516" s="129">
        <f t="shared" si="10"/>
        <v>5.20450826071439e-5</v>
      </c>
    </row>
    <row r="517" ht="14.25" customHeight="1" spans="2:4">
      <c r="B517" s="136">
        <v>45555</v>
      </c>
      <c r="C517" s="128">
        <v>25790.95</v>
      </c>
      <c r="D517" s="129">
        <f t="shared" si="10"/>
        <v>0.00574232434245348</v>
      </c>
    </row>
    <row r="518" ht="14.25" customHeight="1" spans="2:4">
      <c r="B518" s="136">
        <v>45554</v>
      </c>
      <c r="C518" s="128">
        <v>25415.8</v>
      </c>
      <c r="D518" s="129">
        <f t="shared" si="10"/>
        <v>0.0147605033089653</v>
      </c>
    </row>
    <row r="519" ht="14.25" customHeight="1" spans="2:4">
      <c r="B519" s="136">
        <v>45553</v>
      </c>
      <c r="C519" s="128">
        <v>25377.55</v>
      </c>
      <c r="D519" s="129">
        <f t="shared" si="10"/>
        <v>0.00150723769631034</v>
      </c>
    </row>
    <row r="520" ht="14.25" customHeight="1" spans="2:4">
      <c r="B520" s="136">
        <v>45552</v>
      </c>
      <c r="C520" s="128">
        <v>25418.55</v>
      </c>
      <c r="D520" s="129">
        <f t="shared" si="10"/>
        <v>-0.00161299523379577</v>
      </c>
    </row>
    <row r="521" ht="14.25" customHeight="1" spans="2:4">
      <c r="B521" s="136">
        <v>45551</v>
      </c>
      <c r="C521" s="128">
        <v>25383.75</v>
      </c>
      <c r="D521" s="129">
        <f t="shared" si="10"/>
        <v>0.00137095582803948</v>
      </c>
    </row>
    <row r="522" ht="14.25" customHeight="1" spans="2:4">
      <c r="B522" s="136">
        <v>45548</v>
      </c>
      <c r="C522" s="128">
        <v>25356.5</v>
      </c>
      <c r="D522" s="129">
        <f t="shared" si="10"/>
        <v>0.00107467513260895</v>
      </c>
    </row>
    <row r="523" ht="14.25" customHeight="1" spans="2:4">
      <c r="B523" s="136">
        <v>45547</v>
      </c>
      <c r="C523" s="128">
        <v>25388.9</v>
      </c>
      <c r="D523" s="129">
        <f t="shared" si="10"/>
        <v>-0.00127614823800959</v>
      </c>
    </row>
    <row r="524" ht="14.25" customHeight="1" spans="2:4">
      <c r="B524" s="136">
        <v>45546</v>
      </c>
      <c r="C524" s="128">
        <v>24918.45</v>
      </c>
      <c r="D524" s="129">
        <f t="shared" si="10"/>
        <v>0.018879585206945</v>
      </c>
    </row>
    <row r="525" ht="14.25" customHeight="1" spans="2:4">
      <c r="B525" s="136">
        <v>45545</v>
      </c>
      <c r="C525" s="128">
        <v>25041.1</v>
      </c>
      <c r="D525" s="129">
        <f t="shared" si="10"/>
        <v>-0.00489794777385966</v>
      </c>
    </row>
    <row r="526" ht="14.25" customHeight="1" spans="2:4">
      <c r="B526" s="136">
        <v>45544</v>
      </c>
      <c r="C526" s="128">
        <v>24936.4</v>
      </c>
      <c r="D526" s="129">
        <f t="shared" si="10"/>
        <v>0.00419868144559743</v>
      </c>
    </row>
    <row r="527" ht="14.25" customHeight="1" spans="2:4">
      <c r="B527" s="136">
        <v>45541</v>
      </c>
      <c r="C527" s="128">
        <v>24852.15</v>
      </c>
      <c r="D527" s="129">
        <f t="shared" si="10"/>
        <v>0.0033900487482974</v>
      </c>
    </row>
    <row r="528" ht="14.25" customHeight="1" spans="2:4">
      <c r="B528" s="136">
        <v>45540</v>
      </c>
      <c r="C528" s="128">
        <v>25145.1</v>
      </c>
      <c r="D528" s="129">
        <f t="shared" si="10"/>
        <v>-0.0116503811875871</v>
      </c>
    </row>
    <row r="529" ht="14.25" customHeight="1" spans="2:4">
      <c r="B529" s="136">
        <v>45539</v>
      </c>
      <c r="C529" s="128">
        <v>25198.7</v>
      </c>
      <c r="D529" s="129">
        <f t="shared" si="10"/>
        <v>-0.00212709385801657</v>
      </c>
    </row>
    <row r="530" ht="14.25" customHeight="1" spans="2:4">
      <c r="B530" s="136">
        <v>45538</v>
      </c>
      <c r="C530" s="128">
        <v>25279.85</v>
      </c>
      <c r="D530" s="129">
        <f t="shared" si="10"/>
        <v>-0.00321006651542621</v>
      </c>
    </row>
    <row r="531" ht="14.25" customHeight="1" spans="2:4">
      <c r="B531" s="136">
        <v>45537</v>
      </c>
      <c r="C531" s="128">
        <v>25278.7</v>
      </c>
      <c r="D531" s="129">
        <f t="shared" si="10"/>
        <v>4.54928457553905e-5</v>
      </c>
    </row>
    <row r="532" ht="14.25" customHeight="1" spans="2:4">
      <c r="B532" s="136">
        <v>45534</v>
      </c>
      <c r="C532" s="128">
        <v>25235.9</v>
      </c>
      <c r="D532" s="129">
        <f t="shared" si="10"/>
        <v>0.00169599657630592</v>
      </c>
    </row>
    <row r="533" ht="14.25" customHeight="1" spans="2:4">
      <c r="B533" s="136">
        <v>45533</v>
      </c>
      <c r="C533" s="128">
        <v>25151.95</v>
      </c>
      <c r="D533" s="129">
        <f t="shared" si="10"/>
        <v>0.00333771337808808</v>
      </c>
    </row>
    <row r="534" ht="14.25" customHeight="1" spans="2:4">
      <c r="B534" s="136">
        <v>45532</v>
      </c>
      <c r="C534" s="128">
        <v>25052.35</v>
      </c>
      <c r="D534" s="129">
        <f t="shared" si="10"/>
        <v>0.0039756749366826</v>
      </c>
    </row>
    <row r="535" ht="14.25" customHeight="1" spans="2:4">
      <c r="B535" s="136">
        <v>45531</v>
      </c>
      <c r="C535" s="128">
        <v>25017.75</v>
      </c>
      <c r="D535" s="129">
        <f t="shared" si="10"/>
        <v>0.00138301805717944</v>
      </c>
    </row>
    <row r="536" ht="14.25" customHeight="1" spans="2:4">
      <c r="B536" s="136">
        <v>45530</v>
      </c>
      <c r="C536" s="128">
        <v>25010.6</v>
      </c>
      <c r="D536" s="129">
        <f t="shared" si="10"/>
        <v>0.000285878787394278</v>
      </c>
    </row>
    <row r="537" ht="14.25" customHeight="1" spans="2:4">
      <c r="B537" s="136">
        <v>45527</v>
      </c>
      <c r="C537" s="128">
        <v>24823.15</v>
      </c>
      <c r="D537" s="129">
        <f t="shared" si="10"/>
        <v>0.0075514187361394</v>
      </c>
    </row>
    <row r="538" ht="14.25" customHeight="1" spans="2:4">
      <c r="B538" s="136">
        <v>45526</v>
      </c>
      <c r="C538" s="128">
        <v>24811.5</v>
      </c>
      <c r="D538" s="129">
        <f t="shared" si="10"/>
        <v>0.000469540334119278</v>
      </c>
    </row>
    <row r="539" ht="14.25" customHeight="1" spans="2:4">
      <c r="B539" s="136">
        <v>45525</v>
      </c>
      <c r="C539" s="128">
        <v>24770.2</v>
      </c>
      <c r="D539" s="129">
        <f t="shared" si="10"/>
        <v>0.00166732606115416</v>
      </c>
    </row>
    <row r="540" ht="14.25" customHeight="1" spans="2:4">
      <c r="B540" s="136">
        <v>45524</v>
      </c>
      <c r="C540" s="128">
        <v>24698.85</v>
      </c>
      <c r="D540" s="129">
        <f t="shared" si="10"/>
        <v>0.0028887984663255</v>
      </c>
    </row>
    <row r="541" ht="14.25" customHeight="1" spans="2:4">
      <c r="B541" s="136">
        <v>45523</v>
      </c>
      <c r="C541" s="128">
        <v>24572.65</v>
      </c>
      <c r="D541" s="129">
        <f t="shared" si="10"/>
        <v>0.00513579121502961</v>
      </c>
    </row>
    <row r="542" ht="14.25" customHeight="1" spans="2:4">
      <c r="B542" s="136">
        <v>45520</v>
      </c>
      <c r="C542" s="128">
        <v>24541.15</v>
      </c>
      <c r="D542" s="129">
        <f t="shared" si="10"/>
        <v>0.00128355843145078</v>
      </c>
    </row>
    <row r="543" ht="14.25" customHeight="1" spans="2:4">
      <c r="B543" s="136">
        <v>45518</v>
      </c>
      <c r="C543" s="128">
        <v>24143.75</v>
      </c>
      <c r="D543" s="129">
        <f t="shared" si="10"/>
        <v>0.0164597463111571</v>
      </c>
    </row>
    <row r="544" ht="14.25" customHeight="1" spans="2:4">
      <c r="B544" s="136">
        <v>45517</v>
      </c>
      <c r="C544" s="128">
        <v>24139</v>
      </c>
      <c r="D544" s="129">
        <f t="shared" si="10"/>
        <v>0.000196776999875636</v>
      </c>
    </row>
    <row r="545" ht="14.25" customHeight="1" spans="2:4">
      <c r="B545" s="136">
        <v>45516</v>
      </c>
      <c r="C545" s="128">
        <v>24347</v>
      </c>
      <c r="D545" s="129">
        <f t="shared" si="10"/>
        <v>-0.00854314699963032</v>
      </c>
    </row>
    <row r="546" ht="14.25" customHeight="1" spans="2:4">
      <c r="B546" s="136">
        <v>45513</v>
      </c>
      <c r="C546" s="128">
        <v>24367.5</v>
      </c>
      <c r="D546" s="129">
        <f t="shared" si="10"/>
        <v>-0.000841284497794192</v>
      </c>
    </row>
    <row r="547" ht="14.25" customHeight="1" spans="2:4">
      <c r="B547" s="136">
        <v>45512</v>
      </c>
      <c r="C547" s="128">
        <v>24117</v>
      </c>
      <c r="D547" s="129">
        <f t="shared" si="10"/>
        <v>0.0103868640378157</v>
      </c>
    </row>
    <row r="548" ht="14.25" customHeight="1" spans="2:4">
      <c r="B548" s="136">
        <v>45511</v>
      </c>
      <c r="C548" s="128">
        <v>24297.5</v>
      </c>
      <c r="D548" s="129">
        <f t="shared" si="10"/>
        <v>-0.00742874781356107</v>
      </c>
    </row>
    <row r="549" ht="14.25" customHeight="1" spans="2:4">
      <c r="B549" s="136">
        <v>45510</v>
      </c>
      <c r="C549" s="128">
        <v>23992.55</v>
      </c>
      <c r="D549" s="129">
        <f t="shared" si="10"/>
        <v>0.0127101954565063</v>
      </c>
    </row>
    <row r="550" ht="14.25" customHeight="1" spans="2:4">
      <c r="B550" s="136">
        <v>45509</v>
      </c>
      <c r="C550" s="128">
        <v>24055.6</v>
      </c>
      <c r="D550" s="129">
        <f t="shared" si="10"/>
        <v>-0.00262101132376658</v>
      </c>
    </row>
    <row r="551" ht="14.25" customHeight="1" spans="2:4">
      <c r="B551" s="136">
        <v>45506</v>
      </c>
      <c r="C551" s="128">
        <v>24717.7</v>
      </c>
      <c r="D551" s="129">
        <f t="shared" si="10"/>
        <v>-0.0267864728514385</v>
      </c>
    </row>
    <row r="552" ht="14.25" customHeight="1" spans="2:4">
      <c r="B552" s="136">
        <v>45505</v>
      </c>
      <c r="C552" s="128">
        <v>25010.9</v>
      </c>
      <c r="D552" s="129">
        <f t="shared" si="10"/>
        <v>-0.0117228888204743</v>
      </c>
    </row>
    <row r="553" ht="14.25" customHeight="1" spans="2:4">
      <c r="B553" s="136">
        <v>45504</v>
      </c>
      <c r="C553" s="128">
        <v>24951.15</v>
      </c>
      <c r="D553" s="129">
        <f t="shared" si="10"/>
        <v>0.00239467920316305</v>
      </c>
    </row>
    <row r="554" ht="14.25" customHeight="1" spans="2:4">
      <c r="B554" s="136">
        <v>45503</v>
      </c>
      <c r="C554" s="128">
        <v>24857.3</v>
      </c>
      <c r="D554" s="129">
        <f t="shared" si="10"/>
        <v>0.00377555084421899</v>
      </c>
    </row>
    <row r="555" ht="14.25" customHeight="1" spans="2:4">
      <c r="B555" s="136">
        <v>45502</v>
      </c>
      <c r="C555" s="128">
        <v>24836.1</v>
      </c>
      <c r="D555" s="129">
        <f t="shared" si="10"/>
        <v>0.000853596176533467</v>
      </c>
    </row>
    <row r="556" ht="14.25" customHeight="1" spans="2:4">
      <c r="B556" s="136">
        <v>45499</v>
      </c>
      <c r="C556" s="128">
        <v>24834.85</v>
      </c>
      <c r="D556" s="129">
        <f t="shared" si="10"/>
        <v>5.03324964717944e-5</v>
      </c>
    </row>
    <row r="557" ht="14.25" customHeight="1" spans="2:4">
      <c r="B557" s="136">
        <v>45498</v>
      </c>
      <c r="C557" s="128">
        <v>24406.1</v>
      </c>
      <c r="D557" s="129">
        <f t="shared" si="10"/>
        <v>0.0175673294791057</v>
      </c>
    </row>
    <row r="558" ht="14.25" customHeight="1" spans="2:4">
      <c r="B558" s="136">
        <v>45497</v>
      </c>
      <c r="C558" s="128">
        <v>24413.5</v>
      </c>
      <c r="D558" s="129">
        <f t="shared" si="10"/>
        <v>-0.00030311098367708</v>
      </c>
    </row>
    <row r="559" ht="14.25" customHeight="1" spans="2:4">
      <c r="B559" s="136">
        <v>45496</v>
      </c>
      <c r="C559" s="128">
        <v>24479.05</v>
      </c>
      <c r="D559" s="129">
        <f t="shared" si="10"/>
        <v>-0.00267779999632334</v>
      </c>
    </row>
    <row r="560" ht="14.25" customHeight="1" spans="2:4">
      <c r="B560" s="136">
        <v>45495</v>
      </c>
      <c r="C560" s="128">
        <v>24509.25</v>
      </c>
      <c r="D560" s="129">
        <f t="shared" si="10"/>
        <v>-0.00123218784744539</v>
      </c>
    </row>
    <row r="561" ht="14.25" customHeight="1" spans="2:4">
      <c r="B561" s="136">
        <v>45492</v>
      </c>
      <c r="C561" s="128">
        <v>24530.9</v>
      </c>
      <c r="D561" s="129">
        <f t="shared" si="10"/>
        <v>-0.000882560362644669</v>
      </c>
    </row>
    <row r="562" ht="14.25" customHeight="1" spans="2:4">
      <c r="B562" s="136">
        <v>45491</v>
      </c>
      <c r="C562" s="128">
        <v>24800.85</v>
      </c>
      <c r="D562" s="129">
        <f t="shared" si="10"/>
        <v>-0.0108847075805868</v>
      </c>
    </row>
    <row r="563" ht="14.25" customHeight="1" spans="2:4">
      <c r="B563" s="136">
        <v>45489</v>
      </c>
      <c r="C563" s="128">
        <v>24613</v>
      </c>
      <c r="D563" s="129">
        <f t="shared" si="10"/>
        <v>0.00763214561410641</v>
      </c>
    </row>
    <row r="564" ht="14.25" customHeight="1" spans="2:4">
      <c r="B564" s="136">
        <v>45488</v>
      </c>
      <c r="C564" s="128">
        <v>24586.7</v>
      </c>
      <c r="D564" s="129">
        <f t="shared" si="10"/>
        <v>0.00106968401615504</v>
      </c>
    </row>
    <row r="565" ht="14.25" customHeight="1" spans="2:4">
      <c r="B565" s="136">
        <v>45485</v>
      </c>
      <c r="C565" s="128">
        <v>24502.15</v>
      </c>
      <c r="D565" s="129">
        <f t="shared" si="10"/>
        <v>0.00345071759008908</v>
      </c>
    </row>
    <row r="566" ht="14.25" customHeight="1" spans="2:4">
      <c r="B566" s="136">
        <v>45484</v>
      </c>
      <c r="C566" s="128">
        <v>24315.95</v>
      </c>
      <c r="D566" s="129">
        <f t="shared" si="10"/>
        <v>0.00765752520464957</v>
      </c>
    </row>
    <row r="567" ht="14.25" customHeight="1" spans="2:4">
      <c r="B567" s="136">
        <v>45483</v>
      </c>
      <c r="C567" s="128">
        <v>24324.45</v>
      </c>
      <c r="D567" s="129">
        <f t="shared" si="10"/>
        <v>-0.000349442638990838</v>
      </c>
    </row>
    <row r="568" ht="14.25" customHeight="1" spans="2:4">
      <c r="B568" s="136">
        <v>45482</v>
      </c>
      <c r="C568" s="128">
        <v>24433.2</v>
      </c>
      <c r="D568" s="129">
        <f t="shared" si="10"/>
        <v>-0.00445091105544915</v>
      </c>
    </row>
    <row r="569" ht="14.25" customHeight="1" spans="2:4">
      <c r="B569" s="136">
        <v>45481</v>
      </c>
      <c r="C569" s="128">
        <v>24320.55</v>
      </c>
      <c r="D569" s="129">
        <f t="shared" si="10"/>
        <v>0.00463188538088155</v>
      </c>
    </row>
    <row r="570" ht="14.25" customHeight="1" spans="2:4">
      <c r="B570" s="136">
        <v>45478</v>
      </c>
      <c r="C570" s="128">
        <v>24323.85</v>
      </c>
      <c r="D570" s="129">
        <f t="shared" si="10"/>
        <v>-0.000135669312218201</v>
      </c>
    </row>
    <row r="571" ht="14.25" customHeight="1" spans="2:4">
      <c r="B571" s="136">
        <v>45477</v>
      </c>
      <c r="C571" s="128">
        <v>24302.15</v>
      </c>
      <c r="D571" s="129">
        <f t="shared" si="10"/>
        <v>0.000892925111564136</v>
      </c>
    </row>
    <row r="572" ht="14.25" customHeight="1" spans="2:4">
      <c r="B572" s="136">
        <v>45476</v>
      </c>
      <c r="C572" s="128">
        <v>24286.5</v>
      </c>
      <c r="D572" s="129">
        <f t="shared" si="10"/>
        <v>0.000644390916764603</v>
      </c>
    </row>
    <row r="573" ht="14.25" customHeight="1" spans="2:4">
      <c r="B573" s="136">
        <v>45475</v>
      </c>
      <c r="C573" s="128">
        <v>24123.85</v>
      </c>
      <c r="D573" s="129">
        <f t="shared" si="10"/>
        <v>0.00674229030606655</v>
      </c>
    </row>
    <row r="574" ht="14.25" customHeight="1" spans="2:4">
      <c r="B574" s="136">
        <v>45474</v>
      </c>
      <c r="C574" s="128">
        <v>24141.95</v>
      </c>
      <c r="D574" s="129">
        <f t="shared" si="10"/>
        <v>-0.000749732312427254</v>
      </c>
    </row>
    <row r="575" ht="14.25" customHeight="1" spans="2:4">
      <c r="B575" s="136">
        <v>45471</v>
      </c>
      <c r="C575" s="128">
        <v>24010.6</v>
      </c>
      <c r="D575" s="129">
        <f t="shared" si="10"/>
        <v>0.00547050052893305</v>
      </c>
    </row>
    <row r="576" ht="14.25" customHeight="1" spans="2:4">
      <c r="B576" s="136">
        <v>45470</v>
      </c>
      <c r="C576" s="128">
        <v>24044.5</v>
      </c>
      <c r="D576" s="129">
        <f t="shared" si="10"/>
        <v>-0.00140988583667789</v>
      </c>
    </row>
    <row r="577" ht="14.25" customHeight="1" spans="2:4">
      <c r="B577" s="136">
        <v>45469</v>
      </c>
      <c r="C577" s="128">
        <v>23868.8</v>
      </c>
      <c r="D577" s="129">
        <f t="shared" si="10"/>
        <v>0.00736107387049212</v>
      </c>
    </row>
    <row r="578" ht="14.25" customHeight="1" spans="2:4">
      <c r="B578" s="136">
        <v>45468</v>
      </c>
      <c r="C578" s="128">
        <v>23721.3</v>
      </c>
      <c r="D578" s="129">
        <f t="shared" ref="D578:D641" si="11">C577/C578-1</f>
        <v>0.00621804032662632</v>
      </c>
    </row>
    <row r="579" ht="14.25" customHeight="1" spans="2:4">
      <c r="B579" s="136">
        <v>45467</v>
      </c>
      <c r="C579" s="128">
        <v>23537.85</v>
      </c>
      <c r="D579" s="129">
        <f t="shared" si="11"/>
        <v>0.00779382993773869</v>
      </c>
    </row>
    <row r="580" ht="14.25" customHeight="1" spans="2:4">
      <c r="B580" s="136">
        <v>45464</v>
      </c>
      <c r="C580" s="128">
        <v>23501.1</v>
      </c>
      <c r="D580" s="129">
        <f t="shared" si="11"/>
        <v>0.00156375659011698</v>
      </c>
    </row>
    <row r="581" ht="14.25" customHeight="1" spans="2:4">
      <c r="B581" s="136">
        <v>45463</v>
      </c>
      <c r="C581" s="128">
        <v>23567</v>
      </c>
      <c r="D581" s="129">
        <f t="shared" si="11"/>
        <v>-0.0027962829380066</v>
      </c>
    </row>
    <row r="582" ht="14.25" customHeight="1" spans="2:4">
      <c r="B582" s="136">
        <v>45462</v>
      </c>
      <c r="C582" s="128">
        <v>23516</v>
      </c>
      <c r="D582" s="129">
        <f t="shared" si="11"/>
        <v>0.00216873617962232</v>
      </c>
    </row>
    <row r="583" ht="14.25" customHeight="1" spans="2:4">
      <c r="B583" s="136">
        <v>45461</v>
      </c>
      <c r="C583" s="128">
        <v>23557.9</v>
      </c>
      <c r="D583" s="129">
        <f t="shared" si="11"/>
        <v>-0.00177859656420998</v>
      </c>
    </row>
    <row r="584" ht="14.25" customHeight="1" spans="2:4">
      <c r="B584" s="136">
        <v>45457</v>
      </c>
      <c r="C584" s="128">
        <v>23465.6</v>
      </c>
      <c r="D584" s="129">
        <f t="shared" si="11"/>
        <v>0.00393341742806497</v>
      </c>
    </row>
    <row r="585" ht="14.25" customHeight="1" spans="2:4">
      <c r="B585" s="136">
        <v>45456</v>
      </c>
      <c r="C585" s="128">
        <v>23398.9</v>
      </c>
      <c r="D585" s="129">
        <f t="shared" si="11"/>
        <v>0.00285056135117445</v>
      </c>
    </row>
    <row r="586" ht="14.25" customHeight="1" spans="2:4">
      <c r="B586" s="136">
        <v>45455</v>
      </c>
      <c r="C586" s="128">
        <v>23322.95</v>
      </c>
      <c r="D586" s="129">
        <f t="shared" si="11"/>
        <v>0.00325644911985834</v>
      </c>
    </row>
    <row r="587" ht="14.25" customHeight="1" spans="2:4">
      <c r="B587" s="136">
        <v>45454</v>
      </c>
      <c r="C587" s="128">
        <v>23264.85</v>
      </c>
      <c r="D587" s="129">
        <f t="shared" si="11"/>
        <v>0.00249732966255967</v>
      </c>
    </row>
    <row r="588" ht="14.25" customHeight="1" spans="2:4">
      <c r="B588" s="136">
        <v>45453</v>
      </c>
      <c r="C588" s="128">
        <v>23259.2</v>
      </c>
      <c r="D588" s="129">
        <f t="shared" si="11"/>
        <v>0.00024291463162962</v>
      </c>
    </row>
    <row r="589" ht="14.25" customHeight="1" spans="2:4">
      <c r="B589" s="136">
        <v>45450</v>
      </c>
      <c r="C589" s="128">
        <v>23290.15</v>
      </c>
      <c r="D589" s="129">
        <f t="shared" si="11"/>
        <v>-0.0013288879633665</v>
      </c>
    </row>
    <row r="590" ht="14.25" customHeight="1" spans="2:4">
      <c r="B590" s="136">
        <v>45449</v>
      </c>
      <c r="C590" s="128">
        <v>22821.4</v>
      </c>
      <c r="D590" s="129">
        <f t="shared" si="11"/>
        <v>0.020539931818381</v>
      </c>
    </row>
    <row r="591" ht="14.25" customHeight="1" spans="2:4">
      <c r="B591" s="136">
        <v>45448</v>
      </c>
      <c r="C591" s="128">
        <v>22620.35</v>
      </c>
      <c r="D591" s="129">
        <f t="shared" si="11"/>
        <v>0.00888801455326749</v>
      </c>
    </row>
    <row r="592" ht="14.25" customHeight="1" spans="2:4">
      <c r="B592" s="136">
        <v>45447</v>
      </c>
      <c r="C592" s="128">
        <v>21884.5</v>
      </c>
      <c r="D592" s="129">
        <f t="shared" si="11"/>
        <v>0.0336242546094268</v>
      </c>
    </row>
    <row r="593" ht="14.25" customHeight="1" spans="2:4">
      <c r="B593" s="136">
        <v>45446</v>
      </c>
      <c r="C593" s="128">
        <v>23263.9</v>
      </c>
      <c r="D593" s="129">
        <f t="shared" si="11"/>
        <v>-0.059293583620975</v>
      </c>
    </row>
    <row r="594" ht="14.25" customHeight="1" spans="2:4">
      <c r="B594" s="136">
        <v>45443</v>
      </c>
      <c r="C594" s="128">
        <v>22530.7</v>
      </c>
      <c r="D594" s="129">
        <f t="shared" si="11"/>
        <v>0.0325422645545856</v>
      </c>
    </row>
    <row r="595" ht="14.25" customHeight="1" spans="2:4">
      <c r="B595" s="136">
        <v>45442</v>
      </c>
      <c r="C595" s="128">
        <v>22488.65</v>
      </c>
      <c r="D595" s="129">
        <f t="shared" si="11"/>
        <v>0.00186983211531144</v>
      </c>
    </row>
    <row r="596" ht="14.25" customHeight="1" spans="2:4">
      <c r="B596" s="136">
        <v>45441</v>
      </c>
      <c r="C596" s="128">
        <v>22704.7</v>
      </c>
      <c r="D596" s="129">
        <f t="shared" si="11"/>
        <v>-0.00951565094451812</v>
      </c>
    </row>
    <row r="597" ht="14.25" customHeight="1" spans="2:4">
      <c r="B597" s="136">
        <v>45440</v>
      </c>
      <c r="C597" s="128">
        <v>22888.15</v>
      </c>
      <c r="D597" s="129">
        <f t="shared" si="11"/>
        <v>-0.00801506456397749</v>
      </c>
    </row>
    <row r="598" ht="14.25" customHeight="1" spans="2:4">
      <c r="B598" s="136">
        <v>45439</v>
      </c>
      <c r="C598" s="128">
        <v>22932.45</v>
      </c>
      <c r="D598" s="129">
        <f t="shared" si="11"/>
        <v>-0.00193176045298249</v>
      </c>
    </row>
    <row r="599" ht="14.25" customHeight="1" spans="2:4">
      <c r="B599" s="136">
        <v>45436</v>
      </c>
      <c r="C599" s="128">
        <v>22957.1</v>
      </c>
      <c r="D599" s="129">
        <f t="shared" si="11"/>
        <v>-0.00107374189248632</v>
      </c>
    </row>
    <row r="600" ht="14.25" customHeight="1" spans="2:4">
      <c r="B600" s="136">
        <v>45435</v>
      </c>
      <c r="C600" s="128">
        <v>22967.65</v>
      </c>
      <c r="D600" s="129">
        <f t="shared" si="11"/>
        <v>-0.000459341726297802</v>
      </c>
    </row>
    <row r="601" ht="14.25" customHeight="1" spans="2:4">
      <c r="B601" s="136">
        <v>45434</v>
      </c>
      <c r="C601" s="128">
        <v>22597.8</v>
      </c>
      <c r="D601" s="129">
        <f t="shared" si="11"/>
        <v>0.0163666374602838</v>
      </c>
    </row>
    <row r="602" ht="14.25" customHeight="1" spans="2:4">
      <c r="B602" s="136">
        <v>45433</v>
      </c>
      <c r="C602" s="128">
        <v>22529.05</v>
      </c>
      <c r="D602" s="129">
        <f t="shared" si="11"/>
        <v>0.00305161558077227</v>
      </c>
    </row>
    <row r="603" ht="14.25" customHeight="1" spans="2:4">
      <c r="B603" s="136">
        <v>45430</v>
      </c>
      <c r="C603" s="128">
        <v>22502</v>
      </c>
      <c r="D603" s="129">
        <f t="shared" si="11"/>
        <v>0.00120211536752279</v>
      </c>
    </row>
    <row r="604" ht="14.25" customHeight="1" spans="2:4">
      <c r="B604" s="136">
        <v>45429</v>
      </c>
      <c r="C604" s="128">
        <v>22466.1</v>
      </c>
      <c r="D604" s="129">
        <f t="shared" si="11"/>
        <v>0.00159796315337335</v>
      </c>
    </row>
    <row r="605" ht="14.25" customHeight="1" spans="2:4">
      <c r="B605" s="136">
        <v>45428</v>
      </c>
      <c r="C605" s="128">
        <v>22403.85</v>
      </c>
      <c r="D605" s="129">
        <f t="shared" si="11"/>
        <v>0.0027785402955296</v>
      </c>
    </row>
    <row r="606" ht="14.25" customHeight="1" spans="2:4">
      <c r="B606" s="136">
        <v>45427</v>
      </c>
      <c r="C606" s="128">
        <v>22200.55</v>
      </c>
      <c r="D606" s="129">
        <f t="shared" si="11"/>
        <v>0.00915743078437248</v>
      </c>
    </row>
    <row r="607" ht="14.25" customHeight="1" spans="2:4">
      <c r="B607" s="136">
        <v>45426</v>
      </c>
      <c r="C607" s="128">
        <v>22217.85</v>
      </c>
      <c r="D607" s="129">
        <f t="shared" si="11"/>
        <v>-0.000778653200017021</v>
      </c>
    </row>
    <row r="608" ht="14.25" customHeight="1" spans="2:4">
      <c r="B608" s="136">
        <v>45425</v>
      </c>
      <c r="C608" s="128">
        <v>22104.05</v>
      </c>
      <c r="D608" s="129">
        <f t="shared" si="11"/>
        <v>0.00514837778597133</v>
      </c>
    </row>
    <row r="609" ht="14.25" customHeight="1" spans="2:4">
      <c r="B609" s="136">
        <v>45422</v>
      </c>
      <c r="C609" s="128">
        <v>22055.2</v>
      </c>
      <c r="D609" s="129">
        <f t="shared" si="11"/>
        <v>0.00221489716710788</v>
      </c>
    </row>
    <row r="610" ht="14.25" customHeight="1" spans="2:4">
      <c r="B610" s="136">
        <v>45421</v>
      </c>
      <c r="C610" s="128">
        <v>21957.5</v>
      </c>
      <c r="D610" s="129">
        <f t="shared" si="11"/>
        <v>0.00444950472503702</v>
      </c>
    </row>
    <row r="611" ht="14.25" customHeight="1" spans="2:4">
      <c r="B611" s="136">
        <v>45420</v>
      </c>
      <c r="C611" s="128">
        <v>22302.5</v>
      </c>
      <c r="D611" s="129">
        <f t="shared" si="11"/>
        <v>-0.0154691178119045</v>
      </c>
    </row>
    <row r="612" ht="14.25" customHeight="1" spans="2:4">
      <c r="B612" s="136">
        <v>45419</v>
      </c>
      <c r="C612" s="128">
        <v>22302.5</v>
      </c>
      <c r="D612" s="129">
        <f t="shared" si="11"/>
        <v>0</v>
      </c>
    </row>
    <row r="613" ht="14.25" customHeight="1" spans="2:4">
      <c r="B613" s="136">
        <v>45418</v>
      </c>
      <c r="C613" s="128">
        <v>22442.7</v>
      </c>
      <c r="D613" s="129">
        <f t="shared" si="11"/>
        <v>-0.00624702018919299</v>
      </c>
    </row>
    <row r="614" ht="14.25" customHeight="1" spans="2:4">
      <c r="B614" s="136">
        <v>45415</v>
      </c>
      <c r="C614" s="128">
        <v>22475.85</v>
      </c>
      <c r="D614" s="129">
        <f t="shared" si="11"/>
        <v>-0.0014749164102803</v>
      </c>
    </row>
    <row r="615" ht="14.25" customHeight="1" spans="2:4">
      <c r="B615" s="136">
        <v>45414</v>
      </c>
      <c r="C615" s="128">
        <v>22648.2</v>
      </c>
      <c r="D615" s="129">
        <f t="shared" si="11"/>
        <v>-0.00760987628155885</v>
      </c>
    </row>
    <row r="616" ht="14.25" customHeight="1" spans="2:4">
      <c r="B616" s="136">
        <v>45412</v>
      </c>
      <c r="C616" s="128">
        <v>22604.85</v>
      </c>
      <c r="D616" s="129">
        <f t="shared" si="11"/>
        <v>0.00191773004465867</v>
      </c>
    </row>
    <row r="617" ht="14.25" customHeight="1" spans="2:4">
      <c r="B617" s="136">
        <v>45411</v>
      </c>
      <c r="C617" s="128">
        <v>22643.4</v>
      </c>
      <c r="D617" s="129">
        <f t="shared" si="11"/>
        <v>-0.00170248284268282</v>
      </c>
    </row>
    <row r="618" ht="14.25" customHeight="1" spans="2:4">
      <c r="B618" s="136">
        <v>45408</v>
      </c>
      <c r="C618" s="128">
        <v>22419.95</v>
      </c>
      <c r="D618" s="129">
        <f t="shared" si="11"/>
        <v>0.00996656995220779</v>
      </c>
    </row>
    <row r="619" ht="14.25" customHeight="1" spans="2:4">
      <c r="B619" s="136">
        <v>45407</v>
      </c>
      <c r="C619" s="128">
        <v>22570.35</v>
      </c>
      <c r="D619" s="129">
        <f t="shared" si="11"/>
        <v>-0.00666360955855794</v>
      </c>
    </row>
    <row r="620" ht="14.25" customHeight="1" spans="2:4">
      <c r="B620" s="136">
        <v>45406</v>
      </c>
      <c r="C620" s="128">
        <v>22402.4</v>
      </c>
      <c r="D620" s="129">
        <f t="shared" si="11"/>
        <v>0.00749696461093441</v>
      </c>
    </row>
    <row r="621" ht="14.25" customHeight="1" spans="2:4">
      <c r="B621" s="136">
        <v>45405</v>
      </c>
      <c r="C621" s="128">
        <v>22368</v>
      </c>
      <c r="D621" s="129">
        <f t="shared" si="11"/>
        <v>0.00153791130185987</v>
      </c>
    </row>
    <row r="622" ht="14.25" customHeight="1" spans="2:4">
      <c r="B622" s="136">
        <v>45404</v>
      </c>
      <c r="C622" s="128">
        <v>22336.4</v>
      </c>
      <c r="D622" s="129">
        <f t="shared" si="11"/>
        <v>0.00141473111154888</v>
      </c>
    </row>
    <row r="623" ht="14.25" customHeight="1" spans="2:4">
      <c r="B623" s="136">
        <v>45401</v>
      </c>
      <c r="C623" s="128">
        <v>22147</v>
      </c>
      <c r="D623" s="129">
        <f t="shared" si="11"/>
        <v>0.00855194834514839</v>
      </c>
    </row>
    <row r="624" ht="14.25" customHeight="1" spans="2:4">
      <c r="B624" s="136">
        <v>45400</v>
      </c>
      <c r="C624" s="128">
        <v>21995.85</v>
      </c>
      <c r="D624" s="129">
        <f t="shared" si="11"/>
        <v>0.00687175080753866</v>
      </c>
    </row>
    <row r="625" ht="14.25" customHeight="1" spans="2:4">
      <c r="B625" s="136">
        <v>45398</v>
      </c>
      <c r="C625" s="128">
        <v>22147.9</v>
      </c>
      <c r="D625" s="129">
        <f t="shared" si="11"/>
        <v>-0.00686521069717683</v>
      </c>
    </row>
    <row r="626" ht="14.25" customHeight="1" spans="2:4">
      <c r="B626" s="136">
        <v>45397</v>
      </c>
      <c r="C626" s="128">
        <v>22272.5</v>
      </c>
      <c r="D626" s="129">
        <f t="shared" si="11"/>
        <v>-0.00559434279941629</v>
      </c>
    </row>
    <row r="627" ht="14.25" customHeight="1" spans="2:4">
      <c r="B627" s="136">
        <v>45394</v>
      </c>
      <c r="C627" s="128">
        <v>22519.4</v>
      </c>
      <c r="D627" s="129">
        <f t="shared" si="11"/>
        <v>-0.0109638800323277</v>
      </c>
    </row>
    <row r="628" ht="14.25" customHeight="1" spans="2:4">
      <c r="B628" s="136">
        <v>45392</v>
      </c>
      <c r="C628" s="128">
        <v>22753.8</v>
      </c>
      <c r="D628" s="129">
        <f t="shared" si="11"/>
        <v>-0.0103015760004921</v>
      </c>
    </row>
    <row r="629" ht="14.25" customHeight="1" spans="2:4">
      <c r="B629" s="136">
        <v>45391</v>
      </c>
      <c r="C629" s="128">
        <v>22642.75</v>
      </c>
      <c r="D629" s="129">
        <f t="shared" si="11"/>
        <v>0.00490443961091303</v>
      </c>
    </row>
    <row r="630" ht="14.25" customHeight="1" spans="2:4">
      <c r="B630" s="136">
        <v>45390</v>
      </c>
      <c r="C630" s="128">
        <v>22666.3</v>
      </c>
      <c r="D630" s="129">
        <f t="shared" si="11"/>
        <v>-0.00103898739538433</v>
      </c>
    </row>
    <row r="631" ht="14.25" customHeight="1" spans="2:4">
      <c r="B631" s="136">
        <v>45387</v>
      </c>
      <c r="C631" s="128">
        <v>22513.7</v>
      </c>
      <c r="D631" s="129">
        <f t="shared" si="11"/>
        <v>0.0067780951154186</v>
      </c>
    </row>
    <row r="632" ht="14.25" customHeight="1" spans="2:4">
      <c r="B632" s="136">
        <v>45386</v>
      </c>
      <c r="C632" s="128">
        <v>22514.65</v>
      </c>
      <c r="D632" s="129">
        <f t="shared" si="11"/>
        <v>-4.21947487525554e-5</v>
      </c>
    </row>
    <row r="633" ht="14.25" customHeight="1" spans="2:4">
      <c r="B633" s="136">
        <v>45385</v>
      </c>
      <c r="C633" s="128">
        <v>22434.65</v>
      </c>
      <c r="D633" s="129">
        <f t="shared" si="11"/>
        <v>0.00356591255045213</v>
      </c>
    </row>
    <row r="634" ht="14.25" customHeight="1" spans="2:4">
      <c r="B634" s="136">
        <v>45384</v>
      </c>
      <c r="C634" s="128">
        <v>22453.3</v>
      </c>
      <c r="D634" s="129">
        <f t="shared" si="11"/>
        <v>-0.000830612872049885</v>
      </c>
    </row>
    <row r="635" ht="14.25" customHeight="1" spans="2:4">
      <c r="B635" s="136">
        <v>45383</v>
      </c>
      <c r="C635" s="128">
        <v>22462</v>
      </c>
      <c r="D635" s="129">
        <f t="shared" si="11"/>
        <v>-0.000387320808476588</v>
      </c>
    </row>
    <row r="636" ht="14.25" customHeight="1" spans="2:4">
      <c r="B636" s="136">
        <v>45379</v>
      </c>
      <c r="C636" s="128">
        <v>22326.9</v>
      </c>
      <c r="D636" s="129">
        <f t="shared" si="11"/>
        <v>0.00605099677966936</v>
      </c>
    </row>
    <row r="637" ht="14.25" customHeight="1" spans="2:4">
      <c r="B637" s="136">
        <v>45378</v>
      </c>
      <c r="C637" s="128">
        <v>22123.65</v>
      </c>
      <c r="D637" s="129">
        <f t="shared" si="11"/>
        <v>0.00918700124075378</v>
      </c>
    </row>
    <row r="638" ht="14.25" customHeight="1" spans="2:4">
      <c r="B638" s="136">
        <v>45377</v>
      </c>
      <c r="C638" s="128">
        <v>22004.7</v>
      </c>
      <c r="D638" s="129">
        <f t="shared" si="11"/>
        <v>0.00540566333556014</v>
      </c>
    </row>
    <row r="639" ht="14.25" customHeight="1" spans="2:4">
      <c r="B639" s="136">
        <v>45373</v>
      </c>
      <c r="C639" s="128">
        <v>22096.75</v>
      </c>
      <c r="D639" s="129">
        <f t="shared" si="11"/>
        <v>-0.00416577098442072</v>
      </c>
    </row>
    <row r="640" ht="14.25" customHeight="1" spans="2:4">
      <c r="B640" s="136">
        <v>45372</v>
      </c>
      <c r="C640" s="128">
        <v>22011.95</v>
      </c>
      <c r="D640" s="129">
        <f t="shared" si="11"/>
        <v>0.00385245287218994</v>
      </c>
    </row>
    <row r="641" ht="14.25" customHeight="1" spans="2:4">
      <c r="B641" s="136">
        <v>45371</v>
      </c>
      <c r="C641" s="128">
        <v>21839.1</v>
      </c>
      <c r="D641" s="129">
        <f t="shared" si="11"/>
        <v>0.0079147034447391</v>
      </c>
    </row>
    <row r="642" ht="14.25" customHeight="1" spans="2:4">
      <c r="B642" s="136">
        <v>45370</v>
      </c>
      <c r="C642" s="128">
        <v>21817.45</v>
      </c>
      <c r="D642" s="129">
        <f t="shared" ref="D642:D705" si="12">C641/C642-1</f>
        <v>0.000992324950899404</v>
      </c>
    </row>
    <row r="643" ht="14.25" customHeight="1" spans="2:4">
      <c r="B643" s="136">
        <v>45369</v>
      </c>
      <c r="C643" s="128">
        <v>22055.7</v>
      </c>
      <c r="D643" s="129">
        <f t="shared" si="12"/>
        <v>-0.0108021962576568</v>
      </c>
    </row>
    <row r="644" ht="14.25" customHeight="1" spans="2:4">
      <c r="B644" s="136">
        <v>45366</v>
      </c>
      <c r="C644" s="128">
        <v>22023.35</v>
      </c>
      <c r="D644" s="129">
        <f t="shared" si="12"/>
        <v>0.00146889551317142</v>
      </c>
    </row>
    <row r="645" ht="14.25" customHeight="1" spans="2:4">
      <c r="B645" s="136">
        <v>45365</v>
      </c>
      <c r="C645" s="128">
        <v>22146.65</v>
      </c>
      <c r="D645" s="129">
        <f t="shared" si="12"/>
        <v>-0.00556743344930288</v>
      </c>
    </row>
    <row r="646" ht="14.25" customHeight="1" spans="2:4">
      <c r="B646" s="136">
        <v>45364</v>
      </c>
      <c r="C646" s="128">
        <v>21997.7</v>
      </c>
      <c r="D646" s="129">
        <f t="shared" si="12"/>
        <v>0.00677116243970954</v>
      </c>
    </row>
    <row r="647" ht="14.25" customHeight="1" spans="2:4">
      <c r="B647" s="136">
        <v>45363</v>
      </c>
      <c r="C647" s="128">
        <v>22335.7</v>
      </c>
      <c r="D647" s="129">
        <f t="shared" si="12"/>
        <v>-0.0151327247411095</v>
      </c>
    </row>
    <row r="648" ht="14.25" customHeight="1" spans="2:4">
      <c r="B648" s="136">
        <v>45362</v>
      </c>
      <c r="C648" s="128">
        <v>22332.65</v>
      </c>
      <c r="D648" s="129">
        <f t="shared" si="12"/>
        <v>0.000136571342854497</v>
      </c>
    </row>
    <row r="649" ht="14.25" customHeight="1" spans="2:4">
      <c r="B649" s="136">
        <v>45358</v>
      </c>
      <c r="C649" s="128">
        <v>22493.55</v>
      </c>
      <c r="D649" s="129">
        <f t="shared" si="12"/>
        <v>-0.00715316168412716</v>
      </c>
    </row>
    <row r="650" ht="14.25" customHeight="1" spans="2:4">
      <c r="B650" s="136">
        <v>45357</v>
      </c>
      <c r="C650" s="128">
        <v>22474.05</v>
      </c>
      <c r="D650" s="129">
        <f t="shared" si="12"/>
        <v>0.000867667376374115</v>
      </c>
    </row>
    <row r="651" ht="14.25" customHeight="1" spans="2:4">
      <c r="B651" s="136">
        <v>45356</v>
      </c>
      <c r="C651" s="128">
        <v>22356.3</v>
      </c>
      <c r="D651" s="129">
        <f t="shared" si="12"/>
        <v>0.0052669717260907</v>
      </c>
    </row>
    <row r="652" ht="14.25" customHeight="1" spans="2:4">
      <c r="B652" s="136">
        <v>45355</v>
      </c>
      <c r="C652" s="128">
        <v>22405.6</v>
      </c>
      <c r="D652" s="129">
        <f t="shared" si="12"/>
        <v>-0.00220034277144998</v>
      </c>
    </row>
    <row r="653" ht="14.25" customHeight="1" spans="2:4">
      <c r="B653" s="136">
        <v>45353</v>
      </c>
      <c r="C653" s="128">
        <v>22378.4</v>
      </c>
      <c r="D653" s="129">
        <f t="shared" si="12"/>
        <v>0.00121545776284271</v>
      </c>
    </row>
    <row r="654" ht="14.25" customHeight="1" spans="2:4">
      <c r="B654" s="136">
        <v>45352</v>
      </c>
      <c r="C654" s="128">
        <v>22338.75</v>
      </c>
      <c r="D654" s="129">
        <f t="shared" si="12"/>
        <v>0.00177494264450795</v>
      </c>
    </row>
    <row r="655" ht="14.25" customHeight="1" spans="2:4">
      <c r="B655" s="136">
        <v>45351</v>
      </c>
      <c r="C655" s="128">
        <v>21982.8</v>
      </c>
      <c r="D655" s="129">
        <f t="shared" si="12"/>
        <v>0.0161922048146734</v>
      </c>
    </row>
    <row r="656" ht="14.25" customHeight="1" spans="2:4">
      <c r="B656" s="136">
        <v>45350</v>
      </c>
      <c r="C656" s="128">
        <v>21951.15</v>
      </c>
      <c r="D656" s="129">
        <f t="shared" si="12"/>
        <v>0.0014418378991532</v>
      </c>
    </row>
    <row r="657" ht="14.25" customHeight="1" spans="2:4">
      <c r="B657" s="136">
        <v>45349</v>
      </c>
      <c r="C657" s="128">
        <v>22198.35</v>
      </c>
      <c r="D657" s="129">
        <f t="shared" si="12"/>
        <v>-0.0111359628080464</v>
      </c>
    </row>
    <row r="658" ht="14.25" customHeight="1" spans="2:4">
      <c r="B658" s="136">
        <v>45348</v>
      </c>
      <c r="C658" s="128">
        <v>22122.05</v>
      </c>
      <c r="D658" s="129">
        <f t="shared" si="12"/>
        <v>0.00344904744361396</v>
      </c>
    </row>
    <row r="659" ht="14.25" customHeight="1" spans="2:4">
      <c r="B659" s="136">
        <v>45345</v>
      </c>
      <c r="C659" s="128">
        <v>22212.7</v>
      </c>
      <c r="D659" s="129">
        <f t="shared" si="12"/>
        <v>-0.00408099870794643</v>
      </c>
    </row>
    <row r="660" ht="14.25" customHeight="1" spans="2:4">
      <c r="B660" s="136">
        <v>45344</v>
      </c>
      <c r="C660" s="128">
        <v>22217.45</v>
      </c>
      <c r="D660" s="129">
        <f t="shared" si="12"/>
        <v>-0.000213795912672232</v>
      </c>
    </row>
    <row r="661" ht="14.25" customHeight="1" spans="2:4">
      <c r="B661" s="136">
        <v>45343</v>
      </c>
      <c r="C661" s="128">
        <v>22055.05</v>
      </c>
      <c r="D661" s="129">
        <f t="shared" si="12"/>
        <v>0.00736339296442323</v>
      </c>
    </row>
    <row r="662" ht="14.25" customHeight="1" spans="2:4">
      <c r="B662" s="136">
        <v>45342</v>
      </c>
      <c r="C662" s="128">
        <v>22196.95</v>
      </c>
      <c r="D662" s="129">
        <f t="shared" si="12"/>
        <v>-0.00639277017788487</v>
      </c>
    </row>
    <row r="663" ht="14.25" customHeight="1" spans="2:4">
      <c r="B663" s="136">
        <v>45341</v>
      </c>
      <c r="C663" s="128">
        <v>22122.25</v>
      </c>
      <c r="D663" s="129">
        <f t="shared" si="12"/>
        <v>0.00337669088813297</v>
      </c>
    </row>
    <row r="664" ht="14.25" customHeight="1" spans="2:4">
      <c r="B664" s="136">
        <v>45338</v>
      </c>
      <c r="C664" s="128">
        <v>22040.7</v>
      </c>
      <c r="D664" s="129">
        <f t="shared" si="12"/>
        <v>0.00369997323134008</v>
      </c>
    </row>
    <row r="665" ht="14.25" customHeight="1" spans="2:4">
      <c r="B665" s="136">
        <v>45337</v>
      </c>
      <c r="C665" s="128">
        <v>21910.75</v>
      </c>
      <c r="D665" s="129">
        <f t="shared" si="12"/>
        <v>0.00593087867827435</v>
      </c>
    </row>
    <row r="666" ht="14.25" customHeight="1" spans="2:4">
      <c r="B666" s="136">
        <v>45336</v>
      </c>
      <c r="C666" s="128">
        <v>21840.05</v>
      </c>
      <c r="D666" s="129">
        <f t="shared" si="12"/>
        <v>0.00323717207607133</v>
      </c>
    </row>
    <row r="667" ht="14.25" customHeight="1" spans="2:4">
      <c r="B667" s="136">
        <v>45335</v>
      </c>
      <c r="C667" s="128">
        <v>21743.25</v>
      </c>
      <c r="D667" s="129">
        <f t="shared" si="12"/>
        <v>0.00445195635427087</v>
      </c>
    </row>
    <row r="668" ht="14.25" customHeight="1" spans="2:4">
      <c r="B668" s="136">
        <v>45334</v>
      </c>
      <c r="C668" s="128">
        <v>21616.05</v>
      </c>
      <c r="D668" s="129">
        <f t="shared" si="12"/>
        <v>0.00588451636631127</v>
      </c>
    </row>
    <row r="669" ht="14.25" customHeight="1" spans="2:4">
      <c r="B669" s="136">
        <v>45331</v>
      </c>
      <c r="C669" s="128">
        <v>21782.5</v>
      </c>
      <c r="D669" s="129">
        <f t="shared" si="12"/>
        <v>-0.00764145529668314</v>
      </c>
    </row>
    <row r="670" ht="14.25" customHeight="1" spans="2:4">
      <c r="B670" s="136">
        <v>45330</v>
      </c>
      <c r="C670" s="128">
        <v>21717.95</v>
      </c>
      <c r="D670" s="129">
        <f t="shared" si="12"/>
        <v>0.00297219581037811</v>
      </c>
    </row>
    <row r="671" ht="14.25" customHeight="1" spans="2:4">
      <c r="B671" s="136">
        <v>45329</v>
      </c>
      <c r="C671" s="128">
        <v>21930.5</v>
      </c>
      <c r="D671" s="129">
        <f t="shared" si="12"/>
        <v>-0.00969198148697015</v>
      </c>
    </row>
    <row r="672" ht="14.25" customHeight="1" spans="2:4">
      <c r="B672" s="136">
        <v>45328</v>
      </c>
      <c r="C672" s="128">
        <v>21929.4</v>
      </c>
      <c r="D672" s="129">
        <f t="shared" si="12"/>
        <v>5.01609711163198e-5</v>
      </c>
    </row>
    <row r="673" ht="14.25" customHeight="1" spans="2:4">
      <c r="B673" s="136">
        <v>45327</v>
      </c>
      <c r="C673" s="128">
        <v>21771.7</v>
      </c>
      <c r="D673" s="129">
        <f t="shared" si="12"/>
        <v>0.00724334801600235</v>
      </c>
    </row>
    <row r="674" ht="14.25" customHeight="1" spans="2:4">
      <c r="B674" s="136">
        <v>45324</v>
      </c>
      <c r="C674" s="128">
        <v>21853.8</v>
      </c>
      <c r="D674" s="129">
        <f t="shared" si="12"/>
        <v>-0.00375678371724819</v>
      </c>
    </row>
    <row r="675" ht="14.25" customHeight="1" spans="2:4">
      <c r="B675" s="136">
        <v>45323</v>
      </c>
      <c r="C675" s="128">
        <v>21697.45</v>
      </c>
      <c r="D675" s="129">
        <f t="shared" si="12"/>
        <v>0.00720591590255992</v>
      </c>
    </row>
    <row r="676" ht="14.25" customHeight="1" spans="2:4">
      <c r="B676" s="136">
        <v>45322</v>
      </c>
      <c r="C676" s="128">
        <v>21725.7</v>
      </c>
      <c r="D676" s="129">
        <f t="shared" si="12"/>
        <v>-0.00130030332739561</v>
      </c>
    </row>
    <row r="677" ht="14.25" customHeight="1" spans="2:4">
      <c r="B677" s="136">
        <v>45321</v>
      </c>
      <c r="C677" s="128">
        <v>21522.1</v>
      </c>
      <c r="D677" s="129">
        <f t="shared" si="12"/>
        <v>0.00946004339725226</v>
      </c>
    </row>
    <row r="678" ht="14.25" customHeight="1" spans="2:4">
      <c r="B678" s="136">
        <v>45320</v>
      </c>
      <c r="C678" s="128">
        <v>21737.6</v>
      </c>
      <c r="D678" s="129">
        <f t="shared" si="12"/>
        <v>-0.00991369792433383</v>
      </c>
    </row>
    <row r="679" ht="14.25" customHeight="1" spans="2:4">
      <c r="B679" s="136">
        <v>45316</v>
      </c>
      <c r="C679" s="128">
        <v>21352.6</v>
      </c>
      <c r="D679" s="129">
        <f t="shared" si="12"/>
        <v>0.0180305911223926</v>
      </c>
    </row>
    <row r="680" ht="14.25" customHeight="1" spans="2:4">
      <c r="B680" s="136">
        <v>45315</v>
      </c>
      <c r="C680" s="128">
        <v>21453.95</v>
      </c>
      <c r="D680" s="129">
        <f t="shared" si="12"/>
        <v>-0.00472407179097567</v>
      </c>
    </row>
    <row r="681" ht="14.25" customHeight="1" spans="2:4">
      <c r="B681" s="136">
        <v>45314</v>
      </c>
      <c r="C681" s="128">
        <v>21238.8</v>
      </c>
      <c r="D681" s="129">
        <f t="shared" si="12"/>
        <v>0.0101300450119592</v>
      </c>
    </row>
    <row r="682" ht="14.25" customHeight="1" spans="2:4">
      <c r="B682" s="136">
        <v>45311</v>
      </c>
      <c r="C682" s="128">
        <v>21571.8</v>
      </c>
      <c r="D682" s="129">
        <f t="shared" si="12"/>
        <v>-0.0154368202931605</v>
      </c>
    </row>
    <row r="683" ht="14.25" customHeight="1" spans="2:4">
      <c r="B683" s="136">
        <v>45310</v>
      </c>
      <c r="C683" s="128">
        <v>21622.4</v>
      </c>
      <c r="D683" s="129">
        <f t="shared" si="12"/>
        <v>-0.00234016575403295</v>
      </c>
    </row>
    <row r="684" ht="14.25" customHeight="1" spans="2:4">
      <c r="B684" s="136">
        <v>45309</v>
      </c>
      <c r="C684" s="128">
        <v>21462.25</v>
      </c>
      <c r="D684" s="129">
        <f t="shared" si="12"/>
        <v>0.00746193898589387</v>
      </c>
    </row>
    <row r="685" ht="14.25" customHeight="1" spans="2:4">
      <c r="B685" s="136">
        <v>45308</v>
      </c>
      <c r="C685" s="128">
        <v>21571.95</v>
      </c>
      <c r="D685" s="129">
        <f t="shared" si="12"/>
        <v>-0.00508530754057934</v>
      </c>
    </row>
    <row r="686" ht="14.25" customHeight="1" spans="2:4">
      <c r="B686" s="136">
        <v>45307</v>
      </c>
      <c r="C686" s="128">
        <v>22032.3</v>
      </c>
      <c r="D686" s="129">
        <f t="shared" si="12"/>
        <v>-0.0208943233343772</v>
      </c>
    </row>
    <row r="687" ht="14.25" customHeight="1" spans="2:4">
      <c r="B687" s="136">
        <v>45306</v>
      </c>
      <c r="C687" s="128">
        <v>22097.45</v>
      </c>
      <c r="D687" s="129">
        <f t="shared" si="12"/>
        <v>-0.00294830398982693</v>
      </c>
    </row>
    <row r="688" ht="14.25" customHeight="1" spans="2:4">
      <c r="B688" s="136">
        <v>45303</v>
      </c>
      <c r="C688" s="128">
        <v>21894.55</v>
      </c>
      <c r="D688" s="129">
        <f t="shared" si="12"/>
        <v>0.00926714639031179</v>
      </c>
    </row>
    <row r="689" ht="14.25" customHeight="1" spans="2:4">
      <c r="B689" s="136">
        <v>45302</v>
      </c>
      <c r="C689" s="128">
        <v>21647.2</v>
      </c>
      <c r="D689" s="129">
        <f t="shared" si="12"/>
        <v>0.0114264200450866</v>
      </c>
    </row>
    <row r="690" ht="14.25" customHeight="1" spans="2:4">
      <c r="B690" s="136">
        <v>45301</v>
      </c>
      <c r="C690" s="128">
        <v>21618.7</v>
      </c>
      <c r="D690" s="129">
        <f t="shared" si="12"/>
        <v>0.00131830313571113</v>
      </c>
    </row>
    <row r="691" ht="14.25" customHeight="1" spans="2:4">
      <c r="B691" s="136">
        <v>45300</v>
      </c>
      <c r="C691" s="128">
        <v>21544.85</v>
      </c>
      <c r="D691" s="129">
        <f t="shared" si="12"/>
        <v>0.00342773330981649</v>
      </c>
    </row>
    <row r="692" ht="14.25" customHeight="1" spans="2:4">
      <c r="B692" s="136">
        <v>45299</v>
      </c>
      <c r="C692" s="128">
        <v>21513</v>
      </c>
      <c r="D692" s="129">
        <f t="shared" si="12"/>
        <v>0.0014805001626923</v>
      </c>
    </row>
    <row r="693" ht="14.25" customHeight="1" spans="2:4">
      <c r="B693" s="136">
        <v>45296</v>
      </c>
      <c r="C693" s="128">
        <v>21710.8</v>
      </c>
      <c r="D693" s="129">
        <f t="shared" si="12"/>
        <v>-0.00911067302909152</v>
      </c>
    </row>
    <row r="694" ht="14.25" customHeight="1" spans="2:4">
      <c r="B694" s="136">
        <v>45295</v>
      </c>
      <c r="C694" s="128">
        <v>21658.6</v>
      </c>
      <c r="D694" s="129">
        <f t="shared" si="12"/>
        <v>0.00241012807845387</v>
      </c>
    </row>
    <row r="695" ht="14.25" customHeight="1" spans="2:4">
      <c r="B695" s="136">
        <v>45294</v>
      </c>
      <c r="C695" s="128">
        <v>21517.35</v>
      </c>
      <c r="D695" s="129">
        <f t="shared" si="12"/>
        <v>0.00656447006717831</v>
      </c>
    </row>
    <row r="696" ht="14.25" customHeight="1" spans="2:4">
      <c r="B696" s="136">
        <v>45293</v>
      </c>
      <c r="C696" s="128">
        <v>21665.8</v>
      </c>
      <c r="D696" s="129">
        <f t="shared" si="12"/>
        <v>-0.00685181253403988</v>
      </c>
    </row>
    <row r="697" ht="14.25" customHeight="1" spans="2:4">
      <c r="B697" s="136">
        <v>45292</v>
      </c>
      <c r="C697" s="128">
        <v>21741.9</v>
      </c>
      <c r="D697" s="129">
        <f t="shared" si="12"/>
        <v>-0.0035001540803703</v>
      </c>
    </row>
    <row r="698" ht="14.25" customHeight="1" spans="2:4">
      <c r="B698" s="136">
        <v>45289</v>
      </c>
      <c r="C698" s="128">
        <v>21731.4</v>
      </c>
      <c r="D698" s="129">
        <f t="shared" si="12"/>
        <v>0.000483171815897743</v>
      </c>
    </row>
    <row r="699" ht="14.25" customHeight="1" spans="2:4">
      <c r="B699" s="136">
        <v>45288</v>
      </c>
      <c r="C699" s="128">
        <v>21778.7</v>
      </c>
      <c r="D699" s="129">
        <f t="shared" si="12"/>
        <v>-0.00217184680444649</v>
      </c>
    </row>
    <row r="700" ht="14.25" customHeight="1" spans="2:4">
      <c r="B700" s="136">
        <v>45287</v>
      </c>
      <c r="C700" s="128">
        <v>21654.75</v>
      </c>
      <c r="D700" s="129">
        <f t="shared" si="12"/>
        <v>0.00572391738533118</v>
      </c>
    </row>
    <row r="701" ht="14.25" customHeight="1" spans="2:4">
      <c r="B701" s="136">
        <v>45286</v>
      </c>
      <c r="C701" s="128">
        <v>21441.35</v>
      </c>
      <c r="D701" s="129">
        <f t="shared" si="12"/>
        <v>0.00995273152110299</v>
      </c>
    </row>
    <row r="702" ht="14.25" customHeight="1" spans="2:4">
      <c r="B702" s="136">
        <v>45282</v>
      </c>
      <c r="C702" s="128">
        <v>21349.4</v>
      </c>
      <c r="D702" s="129">
        <f t="shared" si="12"/>
        <v>0.00430691260644323</v>
      </c>
    </row>
    <row r="703" ht="14.25" customHeight="1" spans="2:4">
      <c r="B703" s="136">
        <v>45281</v>
      </c>
      <c r="C703" s="128">
        <v>21255.05</v>
      </c>
      <c r="D703" s="129">
        <f t="shared" si="12"/>
        <v>0.00443894509775333</v>
      </c>
    </row>
    <row r="704" ht="14.25" customHeight="1" spans="2:4">
      <c r="B704" s="136">
        <v>45280</v>
      </c>
      <c r="C704" s="128">
        <v>21150.15</v>
      </c>
      <c r="D704" s="129">
        <f t="shared" si="12"/>
        <v>0.00495977569899031</v>
      </c>
    </row>
    <row r="705" ht="14.25" customHeight="1" spans="2:4">
      <c r="B705" s="136">
        <v>45279</v>
      </c>
      <c r="C705" s="128">
        <v>21453.1</v>
      </c>
      <c r="D705" s="129">
        <f t="shared" si="12"/>
        <v>-0.0141215022537534</v>
      </c>
    </row>
    <row r="706" ht="14.25" customHeight="1" spans="2:4">
      <c r="B706" s="136">
        <v>45278</v>
      </c>
      <c r="C706" s="128">
        <v>21418.65</v>
      </c>
      <c r="D706" s="129">
        <f t="shared" ref="D706:D769" si="13">C705/C706-1</f>
        <v>0.00160841136112677</v>
      </c>
    </row>
    <row r="707" ht="14.25" customHeight="1" spans="2:4">
      <c r="B707" s="136">
        <v>45275</v>
      </c>
      <c r="C707" s="128">
        <v>21456.65</v>
      </c>
      <c r="D707" s="129">
        <f t="shared" si="13"/>
        <v>-0.00177101271633739</v>
      </c>
    </row>
    <row r="708" ht="14.25" customHeight="1" spans="2:4">
      <c r="B708" s="136">
        <v>45274</v>
      </c>
      <c r="C708" s="128">
        <v>21182.7</v>
      </c>
      <c r="D708" s="129">
        <f t="shared" si="13"/>
        <v>0.0129327234016439</v>
      </c>
    </row>
    <row r="709" ht="14.25" customHeight="1" spans="2:4">
      <c r="B709" s="136">
        <v>45273</v>
      </c>
      <c r="C709" s="128">
        <v>20926.35</v>
      </c>
      <c r="D709" s="129">
        <f t="shared" si="13"/>
        <v>0.012250105727946</v>
      </c>
    </row>
    <row r="710" ht="14.25" customHeight="1" spans="2:4">
      <c r="B710" s="136">
        <v>45272</v>
      </c>
      <c r="C710" s="128">
        <v>20906.4</v>
      </c>
      <c r="D710" s="129">
        <f t="shared" si="13"/>
        <v>0.000954253243026004</v>
      </c>
    </row>
    <row r="711" ht="14.25" customHeight="1" spans="2:4">
      <c r="B711" s="136">
        <v>45271</v>
      </c>
      <c r="C711" s="128">
        <v>20997.1</v>
      </c>
      <c r="D711" s="129">
        <f t="shared" si="13"/>
        <v>-0.00431964414133368</v>
      </c>
    </row>
    <row r="712" ht="14.25" customHeight="1" spans="2:4">
      <c r="B712" s="136">
        <v>45268</v>
      </c>
      <c r="C712" s="128">
        <v>20969.4</v>
      </c>
      <c r="D712" s="129">
        <f t="shared" si="13"/>
        <v>0.0013209724646388</v>
      </c>
    </row>
    <row r="713" ht="14.25" customHeight="1" spans="2:4">
      <c r="B713" s="136">
        <v>45267</v>
      </c>
      <c r="C713" s="128">
        <v>20901.15</v>
      </c>
      <c r="D713" s="129">
        <f t="shared" si="13"/>
        <v>0.00326537056573439</v>
      </c>
    </row>
    <row r="714" ht="14.25" customHeight="1" spans="2:4">
      <c r="B714" s="136">
        <v>45266</v>
      </c>
      <c r="C714" s="128">
        <v>20937.7</v>
      </c>
      <c r="D714" s="129">
        <f t="shared" si="13"/>
        <v>-0.00174565496687784</v>
      </c>
    </row>
    <row r="715" ht="14.25" customHeight="1" spans="2:4">
      <c r="B715" s="136">
        <v>45265</v>
      </c>
      <c r="C715" s="128">
        <v>20855.1</v>
      </c>
      <c r="D715" s="129">
        <f t="shared" si="13"/>
        <v>0.00396066190044642</v>
      </c>
    </row>
    <row r="716" ht="14.25" customHeight="1" spans="2:4">
      <c r="B716" s="136">
        <v>45264</v>
      </c>
      <c r="C716" s="128">
        <v>20686.8</v>
      </c>
      <c r="D716" s="129">
        <f t="shared" si="13"/>
        <v>0.00813562271593482</v>
      </c>
    </row>
    <row r="717" ht="14.25" customHeight="1" spans="2:4">
      <c r="B717" s="136">
        <v>45261</v>
      </c>
      <c r="C717" s="128">
        <v>20267.9</v>
      </c>
      <c r="D717" s="129">
        <f t="shared" si="13"/>
        <v>0.0206681501290216</v>
      </c>
    </row>
    <row r="718" ht="14.25" customHeight="1" spans="2:4">
      <c r="B718" s="136">
        <v>45260</v>
      </c>
      <c r="C718" s="128">
        <v>20133.15</v>
      </c>
      <c r="D718" s="129">
        <f t="shared" si="13"/>
        <v>0.00669294174036361</v>
      </c>
    </row>
    <row r="719" ht="14.25" customHeight="1" spans="2:4">
      <c r="B719" s="136">
        <v>45259</v>
      </c>
      <c r="C719" s="128">
        <v>20096.6</v>
      </c>
      <c r="D719" s="129">
        <f t="shared" si="13"/>
        <v>0.00181871560363467</v>
      </c>
    </row>
    <row r="720" ht="14.25" customHeight="1" spans="2:4">
      <c r="B720" s="136">
        <v>45258</v>
      </c>
      <c r="C720" s="128">
        <v>19889.7</v>
      </c>
      <c r="D720" s="129">
        <f t="shared" si="13"/>
        <v>0.0104023690653956</v>
      </c>
    </row>
    <row r="721" ht="14.25" customHeight="1" spans="2:4">
      <c r="B721" s="136">
        <v>45254</v>
      </c>
      <c r="C721" s="128">
        <v>19794.7</v>
      </c>
      <c r="D721" s="129">
        <f t="shared" si="13"/>
        <v>0.0047992644495749</v>
      </c>
    </row>
    <row r="722" ht="14.25" customHeight="1" spans="2:4">
      <c r="B722" s="136">
        <v>45253</v>
      </c>
      <c r="C722" s="128">
        <v>19802</v>
      </c>
      <c r="D722" s="129">
        <f t="shared" si="13"/>
        <v>-0.000368649631350304</v>
      </c>
    </row>
    <row r="723" ht="14.25" customHeight="1" spans="2:4">
      <c r="B723" s="136">
        <v>45252</v>
      </c>
      <c r="C723" s="128">
        <v>19811.85</v>
      </c>
      <c r="D723" s="129">
        <f t="shared" si="13"/>
        <v>-0.000497177194456744</v>
      </c>
    </row>
    <row r="724" ht="14.25" customHeight="1" spans="2:4">
      <c r="B724" s="136">
        <v>45251</v>
      </c>
      <c r="C724" s="128">
        <v>19783.4</v>
      </c>
      <c r="D724" s="129">
        <f t="shared" si="13"/>
        <v>0.00143807434515786</v>
      </c>
    </row>
    <row r="725" ht="14.25" customHeight="1" spans="2:4">
      <c r="B725" s="136">
        <v>45250</v>
      </c>
      <c r="C725" s="128">
        <v>19694</v>
      </c>
      <c r="D725" s="129">
        <f t="shared" si="13"/>
        <v>0.00453945364070285</v>
      </c>
    </row>
    <row r="726" ht="14.25" customHeight="1" spans="2:4">
      <c r="B726" s="136">
        <v>45247</v>
      </c>
      <c r="C726" s="128">
        <v>19731.8</v>
      </c>
      <c r="D726" s="129">
        <f t="shared" si="13"/>
        <v>-0.00191568939478404</v>
      </c>
    </row>
    <row r="727" ht="14.25" customHeight="1" spans="2:4">
      <c r="B727" s="136">
        <v>45246</v>
      </c>
      <c r="C727" s="128">
        <v>19765.2</v>
      </c>
      <c r="D727" s="129">
        <f t="shared" si="13"/>
        <v>-0.00168983870641337</v>
      </c>
    </row>
    <row r="728" ht="14.25" customHeight="1" spans="2:4">
      <c r="B728" s="136">
        <v>45245</v>
      </c>
      <c r="C728" s="128">
        <v>19675.45</v>
      </c>
      <c r="D728" s="129">
        <f t="shared" si="13"/>
        <v>0.00456152209987581</v>
      </c>
    </row>
    <row r="729" ht="14.25" customHeight="1" spans="2:4">
      <c r="B729" s="136">
        <v>45243</v>
      </c>
      <c r="C729" s="128">
        <v>19443.55</v>
      </c>
      <c r="D729" s="129">
        <f t="shared" si="13"/>
        <v>0.0119268343486658</v>
      </c>
    </row>
    <row r="730" ht="14.25" customHeight="1" spans="2:4">
      <c r="B730" s="136">
        <v>45242</v>
      </c>
      <c r="C730" s="128">
        <v>19525.55</v>
      </c>
      <c r="D730" s="129">
        <f t="shared" si="13"/>
        <v>-0.00419962561874054</v>
      </c>
    </row>
    <row r="731" ht="14.25" customHeight="1" spans="2:4">
      <c r="B731" s="136">
        <v>45240</v>
      </c>
      <c r="C731" s="128">
        <v>19425.35</v>
      </c>
      <c r="D731" s="129">
        <f t="shared" si="13"/>
        <v>0.00515820821761248</v>
      </c>
    </row>
    <row r="732" ht="14.25" customHeight="1" spans="2:4">
      <c r="B732" s="136">
        <v>45239</v>
      </c>
      <c r="C732" s="128">
        <v>19395.3</v>
      </c>
      <c r="D732" s="129">
        <f t="shared" si="13"/>
        <v>0.00154934442880483</v>
      </c>
    </row>
    <row r="733" ht="14.25" customHeight="1" spans="2:4">
      <c r="B733" s="136">
        <v>45238</v>
      </c>
      <c r="C733" s="128">
        <v>19443.5</v>
      </c>
      <c r="D733" s="129">
        <f t="shared" si="13"/>
        <v>-0.00247897755033821</v>
      </c>
    </row>
    <row r="734" ht="14.25" customHeight="1" spans="2:4">
      <c r="B734" s="136">
        <v>45237</v>
      </c>
      <c r="C734" s="128">
        <v>19406.7</v>
      </c>
      <c r="D734" s="129">
        <f t="shared" si="13"/>
        <v>0.00189625232522794</v>
      </c>
    </row>
    <row r="735" ht="14.25" customHeight="1" spans="2:4">
      <c r="B735" s="136">
        <v>45236</v>
      </c>
      <c r="C735" s="128">
        <v>19411.75</v>
      </c>
      <c r="D735" s="129">
        <f t="shared" si="13"/>
        <v>-0.000260151712236145</v>
      </c>
    </row>
    <row r="736" ht="14.25" customHeight="1" spans="2:4">
      <c r="B736" s="136">
        <v>45233</v>
      </c>
      <c r="C736" s="128">
        <v>19230.6</v>
      </c>
      <c r="D736" s="129">
        <f t="shared" si="13"/>
        <v>0.00941988289496964</v>
      </c>
    </row>
    <row r="737" ht="14.25" customHeight="1" spans="2:4">
      <c r="B737" s="136">
        <v>45232</v>
      </c>
      <c r="C737" s="128">
        <v>19133.25</v>
      </c>
      <c r="D737" s="129">
        <f t="shared" si="13"/>
        <v>0.00508800125436082</v>
      </c>
    </row>
    <row r="738" ht="14.25" customHeight="1" spans="2:4">
      <c r="B738" s="136">
        <v>45231</v>
      </c>
      <c r="C738" s="128">
        <v>18989.15</v>
      </c>
      <c r="D738" s="129">
        <f t="shared" si="13"/>
        <v>0.00758854398432773</v>
      </c>
    </row>
    <row r="739" ht="14.25" customHeight="1" spans="2:4">
      <c r="B739" s="136">
        <v>45230</v>
      </c>
      <c r="C739" s="128">
        <v>19079.6</v>
      </c>
      <c r="D739" s="129">
        <f t="shared" si="13"/>
        <v>-0.00474066542275509</v>
      </c>
    </row>
    <row r="740" ht="14.25" customHeight="1" spans="2:4">
      <c r="B740" s="136">
        <v>45229</v>
      </c>
      <c r="C740" s="128">
        <v>19140.9</v>
      </c>
      <c r="D740" s="129">
        <f t="shared" si="13"/>
        <v>-0.00320256623251791</v>
      </c>
    </row>
    <row r="741" ht="14.25" customHeight="1" spans="2:4">
      <c r="B741" s="136">
        <v>45226</v>
      </c>
      <c r="C741" s="128">
        <v>19047.25</v>
      </c>
      <c r="D741" s="129">
        <f t="shared" si="13"/>
        <v>0.00491672026145507</v>
      </c>
    </row>
    <row r="742" ht="14.25" customHeight="1" spans="2:4">
      <c r="B742" s="136">
        <v>45225</v>
      </c>
      <c r="C742" s="128">
        <v>18857.25</v>
      </c>
      <c r="D742" s="129">
        <f t="shared" si="13"/>
        <v>0.0100757003274603</v>
      </c>
    </row>
    <row r="743" ht="14.25" customHeight="1" spans="2:4">
      <c r="B743" s="136">
        <v>45224</v>
      </c>
      <c r="C743" s="128">
        <v>19122.15</v>
      </c>
      <c r="D743" s="129">
        <f t="shared" si="13"/>
        <v>-0.0138530447674556</v>
      </c>
    </row>
    <row r="744" ht="14.25" customHeight="1" spans="2:4">
      <c r="B744" s="136">
        <v>45222</v>
      </c>
      <c r="C744" s="128">
        <v>19281.75</v>
      </c>
      <c r="D744" s="129">
        <f t="shared" si="13"/>
        <v>-0.00827725699171489</v>
      </c>
    </row>
    <row r="745" ht="14.25" customHeight="1" spans="2:4">
      <c r="B745" s="136">
        <v>45219</v>
      </c>
      <c r="C745" s="128">
        <v>19542.65</v>
      </c>
      <c r="D745" s="129">
        <f t="shared" si="13"/>
        <v>-0.013350287704073</v>
      </c>
    </row>
    <row r="746" ht="14.25" customHeight="1" spans="2:4">
      <c r="B746" s="136">
        <v>45218</v>
      </c>
      <c r="C746" s="128">
        <v>19624.7</v>
      </c>
      <c r="D746" s="129">
        <f t="shared" si="13"/>
        <v>-0.00418095563244281</v>
      </c>
    </row>
    <row r="747" ht="14.25" customHeight="1" spans="2:4">
      <c r="B747" s="136">
        <v>45217</v>
      </c>
      <c r="C747" s="128">
        <v>19671.1</v>
      </c>
      <c r="D747" s="129">
        <f t="shared" si="13"/>
        <v>-0.00235879030659181</v>
      </c>
    </row>
    <row r="748" ht="14.25" customHeight="1" spans="2:4">
      <c r="B748" s="136">
        <v>45216</v>
      </c>
      <c r="C748" s="128">
        <v>19811.5</v>
      </c>
      <c r="D748" s="129">
        <f t="shared" si="13"/>
        <v>-0.00708679302425363</v>
      </c>
    </row>
    <row r="749" ht="14.25" customHeight="1" spans="2:4">
      <c r="B749" s="136">
        <v>45215</v>
      </c>
      <c r="C749" s="128">
        <v>19731.75</v>
      </c>
      <c r="D749" s="129">
        <f t="shared" si="13"/>
        <v>0.00404170942769899</v>
      </c>
    </row>
    <row r="750" ht="14.25" customHeight="1" spans="2:4">
      <c r="B750" s="136">
        <v>45212</v>
      </c>
      <c r="C750" s="128">
        <v>19751.05</v>
      </c>
      <c r="D750" s="129">
        <f t="shared" si="13"/>
        <v>-0.000977163239422651</v>
      </c>
    </row>
    <row r="751" ht="14.25" customHeight="1" spans="2:4">
      <c r="B751" s="136">
        <v>45211</v>
      </c>
      <c r="C751" s="128">
        <v>19794</v>
      </c>
      <c r="D751" s="129">
        <f t="shared" si="13"/>
        <v>-0.00216984944932808</v>
      </c>
    </row>
    <row r="752" ht="14.25" customHeight="1" spans="2:4">
      <c r="B752" s="136">
        <v>45210</v>
      </c>
      <c r="C752" s="128">
        <v>19811.35</v>
      </c>
      <c r="D752" s="129">
        <f t="shared" si="13"/>
        <v>-0.000875760611972365</v>
      </c>
    </row>
    <row r="753" ht="14.25" customHeight="1" spans="2:4">
      <c r="B753" s="136">
        <v>45209</v>
      </c>
      <c r="C753" s="128">
        <v>19689.85</v>
      </c>
      <c r="D753" s="129">
        <f t="shared" si="13"/>
        <v>0.00617069200628761</v>
      </c>
    </row>
    <row r="754" ht="14.25" customHeight="1" spans="2:4">
      <c r="B754" s="136">
        <v>45208</v>
      </c>
      <c r="C754" s="128">
        <v>19512.35</v>
      </c>
      <c r="D754" s="129">
        <f t="shared" si="13"/>
        <v>0.00909680279412783</v>
      </c>
    </row>
    <row r="755" ht="14.25" customHeight="1" spans="2:4">
      <c r="B755" s="136">
        <v>45205</v>
      </c>
      <c r="C755" s="128">
        <v>19653.5</v>
      </c>
      <c r="D755" s="129">
        <f t="shared" si="13"/>
        <v>-0.00718192688325248</v>
      </c>
    </row>
    <row r="756" ht="14.25" customHeight="1" spans="2:4">
      <c r="B756" s="136">
        <v>45204</v>
      </c>
      <c r="C756" s="128">
        <v>19545.75</v>
      </c>
      <c r="D756" s="129">
        <f t="shared" si="13"/>
        <v>0.00551270736605147</v>
      </c>
    </row>
    <row r="757" ht="14.25" customHeight="1" spans="2:4">
      <c r="B757" s="136">
        <v>45203</v>
      </c>
      <c r="C757" s="128">
        <v>19436.1</v>
      </c>
      <c r="D757" s="129">
        <f t="shared" si="13"/>
        <v>0.00564156389399106</v>
      </c>
    </row>
    <row r="758" ht="14.25" customHeight="1" spans="2:4">
      <c r="B758" s="136">
        <v>45202</v>
      </c>
      <c r="C758" s="128">
        <v>19528.75</v>
      </c>
      <c r="D758" s="129">
        <f t="shared" si="13"/>
        <v>-0.00474428726877052</v>
      </c>
    </row>
    <row r="759" ht="14.25" customHeight="1" spans="2:4">
      <c r="B759" s="136">
        <v>45198</v>
      </c>
      <c r="C759" s="128">
        <v>19638.3</v>
      </c>
      <c r="D759" s="129">
        <f t="shared" si="13"/>
        <v>-0.00557838509443276</v>
      </c>
    </row>
    <row r="760" ht="14.25" customHeight="1" spans="2:4">
      <c r="B760" s="136">
        <v>45197</v>
      </c>
      <c r="C760" s="128">
        <v>19523.55</v>
      </c>
      <c r="D760" s="129">
        <f t="shared" si="13"/>
        <v>0.00587751715236218</v>
      </c>
    </row>
    <row r="761" ht="14.25" customHeight="1" spans="2:4">
      <c r="B761" s="136">
        <v>45196</v>
      </c>
      <c r="C761" s="128">
        <v>19716.45</v>
      </c>
      <c r="D761" s="129">
        <f t="shared" si="13"/>
        <v>-0.00978370852765087</v>
      </c>
    </row>
    <row r="762" ht="14.25" customHeight="1" spans="2:4">
      <c r="B762" s="136">
        <v>45195</v>
      </c>
      <c r="C762" s="128">
        <v>19664.7</v>
      </c>
      <c r="D762" s="129">
        <f t="shared" si="13"/>
        <v>0.00263161909411269</v>
      </c>
    </row>
    <row r="763" ht="14.25" customHeight="1" spans="2:4">
      <c r="B763" s="136">
        <v>45194</v>
      </c>
      <c r="C763" s="128">
        <v>19674.55</v>
      </c>
      <c r="D763" s="129">
        <f t="shared" si="13"/>
        <v>-0.000500646774640234</v>
      </c>
    </row>
    <row r="764" ht="14.25" customHeight="1" spans="2:4">
      <c r="B764" s="136">
        <v>45191</v>
      </c>
      <c r="C764" s="128">
        <v>19674.25</v>
      </c>
      <c r="D764" s="129">
        <f t="shared" si="13"/>
        <v>1.52483576247864e-5</v>
      </c>
    </row>
    <row r="765" ht="14.25" customHeight="1" spans="2:4">
      <c r="B765" s="136">
        <v>45190</v>
      </c>
      <c r="C765" s="128">
        <v>19742.35</v>
      </c>
      <c r="D765" s="129">
        <f t="shared" si="13"/>
        <v>-0.0034494373770092</v>
      </c>
    </row>
    <row r="766" ht="14.25" customHeight="1" spans="2:4">
      <c r="B766" s="136">
        <v>45189</v>
      </c>
      <c r="C766" s="128">
        <v>19901.4</v>
      </c>
      <c r="D766" s="129">
        <f t="shared" si="13"/>
        <v>-0.00799190006733208</v>
      </c>
    </row>
    <row r="767" ht="14.25" customHeight="1" spans="2:4">
      <c r="B767" s="136">
        <v>45187</v>
      </c>
      <c r="C767" s="128">
        <v>20133.3</v>
      </c>
      <c r="D767" s="129">
        <f t="shared" si="13"/>
        <v>-0.0115182309904486</v>
      </c>
    </row>
    <row r="768" ht="14.25" customHeight="1" spans="2:4">
      <c r="B768" s="136">
        <v>45184</v>
      </c>
      <c r="C768" s="128">
        <v>20192.35</v>
      </c>
      <c r="D768" s="129">
        <f t="shared" si="13"/>
        <v>-0.00292437482511942</v>
      </c>
    </row>
    <row r="769" ht="14.25" customHeight="1" spans="2:4">
      <c r="B769" s="136">
        <v>45183</v>
      </c>
      <c r="C769" s="128">
        <v>20103.1</v>
      </c>
      <c r="D769" s="129">
        <f t="shared" si="13"/>
        <v>0.00443961379090796</v>
      </c>
    </row>
    <row r="770" ht="14.25" customHeight="1" spans="2:4">
      <c r="B770" s="136">
        <v>45182</v>
      </c>
      <c r="C770" s="128">
        <v>20070</v>
      </c>
      <c r="D770" s="129">
        <f t="shared" ref="D770:D833" si="14">C769/C770-1</f>
        <v>0.00164922770303932</v>
      </c>
    </row>
    <row r="771" ht="14.25" customHeight="1" spans="2:4">
      <c r="B771" s="136">
        <v>45181</v>
      </c>
      <c r="C771" s="128">
        <v>19993.2</v>
      </c>
      <c r="D771" s="129">
        <f t="shared" si="14"/>
        <v>0.00384130604405497</v>
      </c>
    </row>
    <row r="772" ht="14.25" customHeight="1" spans="2:4">
      <c r="B772" s="136">
        <v>45180</v>
      </c>
      <c r="C772" s="128">
        <v>19996.35</v>
      </c>
      <c r="D772" s="129">
        <f t="shared" si="14"/>
        <v>-0.000157528748996549</v>
      </c>
    </row>
    <row r="773" ht="14.25" customHeight="1" spans="2:4">
      <c r="B773" s="136">
        <v>45177</v>
      </c>
      <c r="C773" s="128">
        <v>19819.95</v>
      </c>
      <c r="D773" s="129">
        <f t="shared" si="14"/>
        <v>0.00890012336055324</v>
      </c>
    </row>
    <row r="774" ht="14.25" customHeight="1" spans="2:4">
      <c r="B774" s="136">
        <v>45176</v>
      </c>
      <c r="C774" s="128">
        <v>19727.05</v>
      </c>
      <c r="D774" s="129">
        <f t="shared" si="14"/>
        <v>0.00470926975903652</v>
      </c>
    </row>
    <row r="775" ht="14.25" customHeight="1" spans="2:4">
      <c r="B775" s="136">
        <v>45175</v>
      </c>
      <c r="C775" s="128">
        <v>19611.05</v>
      </c>
      <c r="D775" s="129">
        <f t="shared" si="14"/>
        <v>0.00591503259641879</v>
      </c>
    </row>
    <row r="776" ht="14.25" customHeight="1" spans="2:4">
      <c r="B776" s="136">
        <v>45174</v>
      </c>
      <c r="C776" s="128">
        <v>19574.9</v>
      </c>
      <c r="D776" s="129">
        <f t="shared" si="14"/>
        <v>0.00184675272926027</v>
      </c>
    </row>
    <row r="777" ht="14.25" customHeight="1" spans="2:4">
      <c r="B777" s="136">
        <v>45173</v>
      </c>
      <c r="C777" s="128">
        <v>19528.8</v>
      </c>
      <c r="D777" s="129">
        <f t="shared" si="14"/>
        <v>0.00236061611568572</v>
      </c>
    </row>
    <row r="778" ht="14.25" customHeight="1" spans="2:4">
      <c r="B778" s="136">
        <v>45170</v>
      </c>
      <c r="C778" s="128">
        <v>19435.3</v>
      </c>
      <c r="D778" s="129">
        <f t="shared" si="14"/>
        <v>0.00481083389502612</v>
      </c>
    </row>
    <row r="779" ht="14.25" customHeight="1" spans="2:4">
      <c r="B779" s="136">
        <v>45169</v>
      </c>
      <c r="C779" s="128">
        <v>19253.8</v>
      </c>
      <c r="D779" s="129">
        <f t="shared" si="14"/>
        <v>0.00942671057141964</v>
      </c>
    </row>
    <row r="780" ht="14.25" customHeight="1" spans="2:4">
      <c r="B780" s="136">
        <v>45168</v>
      </c>
      <c r="C780" s="128">
        <v>19347.45</v>
      </c>
      <c r="D780" s="129">
        <f t="shared" si="14"/>
        <v>-0.00484043116793176</v>
      </c>
    </row>
    <row r="781" ht="14.25" customHeight="1" spans="2:4">
      <c r="B781" s="136">
        <v>45167</v>
      </c>
      <c r="C781" s="128">
        <v>19342.65</v>
      </c>
      <c r="D781" s="129">
        <f t="shared" si="14"/>
        <v>0.000248156276414946</v>
      </c>
    </row>
    <row r="782" ht="14.25" customHeight="1" spans="2:4">
      <c r="B782" s="136">
        <v>45166</v>
      </c>
      <c r="C782" s="128">
        <v>19306.05</v>
      </c>
      <c r="D782" s="129">
        <f t="shared" si="14"/>
        <v>0.00189577878437075</v>
      </c>
    </row>
    <row r="783" ht="14.25" customHeight="1" spans="2:4">
      <c r="B783" s="136">
        <v>45163</v>
      </c>
      <c r="C783" s="128">
        <v>19265.8</v>
      </c>
      <c r="D783" s="129">
        <f t="shared" si="14"/>
        <v>0.00208919432362009</v>
      </c>
    </row>
    <row r="784" ht="14.25" customHeight="1" spans="2:4">
      <c r="B784" s="136">
        <v>45162</v>
      </c>
      <c r="C784" s="128">
        <v>19386.7</v>
      </c>
      <c r="D784" s="129">
        <f t="shared" si="14"/>
        <v>-0.00623623411926744</v>
      </c>
    </row>
    <row r="785" ht="14.25" customHeight="1" spans="2:4">
      <c r="B785" s="136">
        <v>45161</v>
      </c>
      <c r="C785" s="128">
        <v>19444</v>
      </c>
      <c r="D785" s="129">
        <f t="shared" si="14"/>
        <v>-0.00294692450113143</v>
      </c>
    </row>
    <row r="786" ht="14.25" customHeight="1" spans="2:4">
      <c r="B786" s="136">
        <v>45160</v>
      </c>
      <c r="C786" s="128">
        <v>19396.45</v>
      </c>
      <c r="D786" s="129">
        <f t="shared" si="14"/>
        <v>0.00245147952331481</v>
      </c>
    </row>
    <row r="787" ht="14.25" customHeight="1" spans="2:4">
      <c r="B787" s="136">
        <v>45159</v>
      </c>
      <c r="C787" s="128">
        <v>19393.6</v>
      </c>
      <c r="D787" s="129">
        <f t="shared" si="14"/>
        <v>0.000146955696724849</v>
      </c>
    </row>
    <row r="788" ht="14.25" customHeight="1" spans="2:4">
      <c r="B788" s="136">
        <v>45156</v>
      </c>
      <c r="C788" s="128">
        <v>19310.15</v>
      </c>
      <c r="D788" s="129">
        <f t="shared" si="14"/>
        <v>0.00432156145861096</v>
      </c>
    </row>
    <row r="789" ht="14.25" customHeight="1" spans="2:4">
      <c r="B789" s="136">
        <v>45155</v>
      </c>
      <c r="C789" s="128">
        <v>19365.25</v>
      </c>
      <c r="D789" s="129">
        <f t="shared" si="14"/>
        <v>-0.0028453027975367</v>
      </c>
    </row>
    <row r="790" ht="14.25" customHeight="1" spans="2:4">
      <c r="B790" s="136">
        <v>45154</v>
      </c>
      <c r="C790" s="128">
        <v>19465</v>
      </c>
      <c r="D790" s="129">
        <f t="shared" si="14"/>
        <v>-0.0051245825841254</v>
      </c>
    </row>
    <row r="791" ht="14.25" customHeight="1" spans="2:4">
      <c r="B791" s="136">
        <v>45152</v>
      </c>
      <c r="C791" s="128">
        <v>19434.55</v>
      </c>
      <c r="D791" s="129">
        <f t="shared" si="14"/>
        <v>0.00156679727598541</v>
      </c>
    </row>
    <row r="792" ht="14.25" customHeight="1" spans="2:4">
      <c r="B792" s="136">
        <v>45149</v>
      </c>
      <c r="C792" s="128">
        <v>19428.3</v>
      </c>
      <c r="D792" s="129">
        <f t="shared" si="14"/>
        <v>0.000321695670748356</v>
      </c>
    </row>
    <row r="793" ht="14.25" customHeight="1" spans="2:4">
      <c r="B793" s="136">
        <v>45148</v>
      </c>
      <c r="C793" s="128">
        <v>19543.1</v>
      </c>
      <c r="D793" s="129">
        <f t="shared" si="14"/>
        <v>-0.00587419600779815</v>
      </c>
    </row>
    <row r="794" ht="14.25" customHeight="1" spans="2:4">
      <c r="B794" s="136">
        <v>45147</v>
      </c>
      <c r="C794" s="128">
        <v>19632.55</v>
      </c>
      <c r="D794" s="129">
        <f t="shared" si="14"/>
        <v>-0.00455620894891395</v>
      </c>
    </row>
    <row r="795" ht="14.25" customHeight="1" spans="2:4">
      <c r="B795" s="136">
        <v>45146</v>
      </c>
      <c r="C795" s="128">
        <v>19570.85</v>
      </c>
      <c r="D795" s="129">
        <f t="shared" si="14"/>
        <v>0.00315264794324221</v>
      </c>
    </row>
    <row r="796" ht="14.25" customHeight="1" spans="2:4">
      <c r="B796" s="136">
        <v>45145</v>
      </c>
      <c r="C796" s="128">
        <v>19597.3</v>
      </c>
      <c r="D796" s="129">
        <f t="shared" si="14"/>
        <v>-0.00134967572063505</v>
      </c>
    </row>
    <row r="797" ht="14.25" customHeight="1" spans="2:4">
      <c r="B797" s="136">
        <v>45142</v>
      </c>
      <c r="C797" s="128">
        <v>19517</v>
      </c>
      <c r="D797" s="129">
        <f t="shared" si="14"/>
        <v>0.0041143618383972</v>
      </c>
    </row>
    <row r="798" ht="14.25" customHeight="1" spans="2:4">
      <c r="B798" s="136">
        <v>45141</v>
      </c>
      <c r="C798" s="128">
        <v>19381.65</v>
      </c>
      <c r="D798" s="129">
        <f t="shared" si="14"/>
        <v>0.00698340956523302</v>
      </c>
    </row>
    <row r="799" ht="14.25" customHeight="1" spans="2:4">
      <c r="B799" s="136">
        <v>45140</v>
      </c>
      <c r="C799" s="128">
        <v>19526.55</v>
      </c>
      <c r="D799" s="129">
        <f t="shared" si="14"/>
        <v>-0.00742066570899613</v>
      </c>
    </row>
    <row r="800" ht="14.25" customHeight="1" spans="2:4">
      <c r="B800" s="136">
        <v>45139</v>
      </c>
      <c r="C800" s="128">
        <v>19733.55</v>
      </c>
      <c r="D800" s="129">
        <f t="shared" si="14"/>
        <v>-0.0104897496902483</v>
      </c>
    </row>
    <row r="801" ht="14.25" customHeight="1" spans="2:4">
      <c r="B801" s="136">
        <v>45138</v>
      </c>
      <c r="C801" s="128">
        <v>19753.8</v>
      </c>
      <c r="D801" s="129">
        <f t="shared" si="14"/>
        <v>-0.00102511921756832</v>
      </c>
    </row>
    <row r="802" ht="14.25" customHeight="1" spans="2:4">
      <c r="B802" s="136">
        <v>45135</v>
      </c>
      <c r="C802" s="128">
        <v>19646.05</v>
      </c>
      <c r="D802" s="129">
        <f t="shared" si="14"/>
        <v>0.00548456305465983</v>
      </c>
    </row>
    <row r="803" ht="14.25" customHeight="1" spans="2:4">
      <c r="B803" s="136">
        <v>45134</v>
      </c>
      <c r="C803" s="128">
        <v>19659.9</v>
      </c>
      <c r="D803" s="129">
        <f t="shared" si="14"/>
        <v>-0.0007044796769059</v>
      </c>
    </row>
    <row r="804" ht="14.25" customHeight="1" spans="2:4">
      <c r="B804" s="136">
        <v>45133</v>
      </c>
      <c r="C804" s="128">
        <v>19778.3</v>
      </c>
      <c r="D804" s="129">
        <f t="shared" si="14"/>
        <v>-0.00598635878715548</v>
      </c>
    </row>
    <row r="805" ht="14.25" customHeight="1" spans="2:4">
      <c r="B805" s="136">
        <v>45132</v>
      </c>
      <c r="C805" s="128">
        <v>19680.6</v>
      </c>
      <c r="D805" s="129">
        <f t="shared" si="14"/>
        <v>0.00496427954432277</v>
      </c>
    </row>
    <row r="806" ht="14.25" customHeight="1" spans="2:4">
      <c r="B806" s="136">
        <v>45131</v>
      </c>
      <c r="C806" s="128">
        <v>19672.35</v>
      </c>
      <c r="D806" s="129">
        <f t="shared" si="14"/>
        <v>0.000419370334505009</v>
      </c>
    </row>
    <row r="807" ht="14.25" customHeight="1" spans="2:4">
      <c r="B807" s="136">
        <v>45128</v>
      </c>
      <c r="C807" s="128">
        <v>19745</v>
      </c>
      <c r="D807" s="129">
        <f t="shared" si="14"/>
        <v>-0.0036794125094961</v>
      </c>
    </row>
    <row r="808" ht="14.25" customHeight="1" spans="2:4">
      <c r="B808" s="136">
        <v>45127</v>
      </c>
      <c r="C808" s="128">
        <v>19979.15</v>
      </c>
      <c r="D808" s="129">
        <f t="shared" si="14"/>
        <v>-0.0117197178058126</v>
      </c>
    </row>
    <row r="809" ht="14.25" customHeight="1" spans="2:4">
      <c r="B809" s="136">
        <v>45126</v>
      </c>
      <c r="C809" s="128">
        <v>19833.15</v>
      </c>
      <c r="D809" s="129">
        <f t="shared" si="14"/>
        <v>0.00736141258448608</v>
      </c>
    </row>
    <row r="810" ht="14.25" customHeight="1" spans="2:4">
      <c r="B810" s="136">
        <v>45125</v>
      </c>
      <c r="C810" s="128">
        <v>19749.25</v>
      </c>
      <c r="D810" s="129">
        <f t="shared" si="14"/>
        <v>0.00424826259225042</v>
      </c>
    </row>
    <row r="811" ht="14.25" customHeight="1" spans="2:4">
      <c r="B811" s="136">
        <v>45124</v>
      </c>
      <c r="C811" s="128">
        <v>19711.45</v>
      </c>
      <c r="D811" s="129">
        <f t="shared" si="14"/>
        <v>0.00191766714270125</v>
      </c>
    </row>
    <row r="812" ht="14.25" customHeight="1" spans="2:4">
      <c r="B812" s="136">
        <v>45121</v>
      </c>
      <c r="C812" s="128">
        <v>19564.5</v>
      </c>
      <c r="D812" s="129">
        <f t="shared" si="14"/>
        <v>0.00751105318306111</v>
      </c>
    </row>
    <row r="813" ht="14.25" customHeight="1" spans="2:4">
      <c r="B813" s="136">
        <v>45120</v>
      </c>
      <c r="C813" s="128">
        <v>19413.75</v>
      </c>
      <c r="D813" s="129">
        <f t="shared" si="14"/>
        <v>0.00776511493142751</v>
      </c>
    </row>
    <row r="814" ht="14.25" customHeight="1" spans="2:4">
      <c r="B814" s="136">
        <v>45119</v>
      </c>
      <c r="C814" s="128">
        <v>19384.3</v>
      </c>
      <c r="D814" s="129">
        <f t="shared" si="14"/>
        <v>0.00151927075003999</v>
      </c>
    </row>
    <row r="815" ht="14.25" customHeight="1" spans="2:4">
      <c r="B815" s="136">
        <v>45118</v>
      </c>
      <c r="C815" s="128">
        <v>19439.4</v>
      </c>
      <c r="D815" s="129">
        <f t="shared" si="14"/>
        <v>-0.00283444962293089</v>
      </c>
    </row>
    <row r="816" ht="14.25" customHeight="1" spans="2:4">
      <c r="B816" s="136">
        <v>45117</v>
      </c>
      <c r="C816" s="128">
        <v>19355.9</v>
      </c>
      <c r="D816" s="129">
        <f t="shared" si="14"/>
        <v>0.00431393011949854</v>
      </c>
    </row>
    <row r="817" ht="14.25" customHeight="1" spans="2:4">
      <c r="B817" s="136">
        <v>45114</v>
      </c>
      <c r="C817" s="128">
        <v>19331.8</v>
      </c>
      <c r="D817" s="129">
        <f t="shared" si="14"/>
        <v>0.00124665059642681</v>
      </c>
    </row>
    <row r="818" ht="14.25" customHeight="1" spans="2:4">
      <c r="B818" s="136">
        <v>45113</v>
      </c>
      <c r="C818" s="128">
        <v>19497.3</v>
      </c>
      <c r="D818" s="129">
        <f t="shared" si="14"/>
        <v>-0.00848835479784382</v>
      </c>
    </row>
    <row r="819" ht="14.25" customHeight="1" spans="2:4">
      <c r="B819" s="136">
        <v>45112</v>
      </c>
      <c r="C819" s="128">
        <v>19398.5</v>
      </c>
      <c r="D819" s="129">
        <f t="shared" si="14"/>
        <v>0.00509317730752379</v>
      </c>
    </row>
    <row r="820" ht="14.25" customHeight="1" spans="2:4">
      <c r="B820" s="136">
        <v>45111</v>
      </c>
      <c r="C820" s="128">
        <v>19389</v>
      </c>
      <c r="D820" s="129">
        <f t="shared" si="14"/>
        <v>0.000489968538862184</v>
      </c>
    </row>
    <row r="821" ht="14.25" customHeight="1" spans="2:4">
      <c r="B821" s="136">
        <v>45110</v>
      </c>
      <c r="C821" s="128">
        <v>19322.55</v>
      </c>
      <c r="D821" s="129">
        <f t="shared" si="14"/>
        <v>0.0034389870902134</v>
      </c>
    </row>
    <row r="822" ht="14.25" customHeight="1" spans="2:4">
      <c r="B822" s="136">
        <v>45107</v>
      </c>
      <c r="C822" s="128">
        <v>19189.05</v>
      </c>
      <c r="D822" s="129">
        <f t="shared" si="14"/>
        <v>0.00695709271694023</v>
      </c>
    </row>
    <row r="823" ht="14.25" customHeight="1" spans="2:4">
      <c r="B823" s="136">
        <v>45105</v>
      </c>
      <c r="C823" s="128">
        <v>18972.1</v>
      </c>
      <c r="D823" s="129">
        <f t="shared" si="14"/>
        <v>0.0114352127597894</v>
      </c>
    </row>
    <row r="824" ht="14.25" customHeight="1" spans="2:4">
      <c r="B824" s="136">
        <v>45104</v>
      </c>
      <c r="C824" s="128">
        <v>18817.4</v>
      </c>
      <c r="D824" s="129">
        <f t="shared" si="14"/>
        <v>0.00822111450040897</v>
      </c>
    </row>
    <row r="825" ht="14.25" customHeight="1" spans="2:4">
      <c r="B825" s="136">
        <v>45103</v>
      </c>
      <c r="C825" s="128">
        <v>18691.2</v>
      </c>
      <c r="D825" s="129">
        <f t="shared" si="14"/>
        <v>0.00675184043828114</v>
      </c>
    </row>
    <row r="826" ht="14.25" customHeight="1" spans="2:4">
      <c r="B826" s="136">
        <v>45100</v>
      </c>
      <c r="C826" s="128">
        <v>18665.5</v>
      </c>
      <c r="D826" s="129">
        <f t="shared" si="14"/>
        <v>0.00137687176877122</v>
      </c>
    </row>
    <row r="827" ht="14.25" customHeight="1" spans="2:4">
      <c r="B827" s="136">
        <v>45099</v>
      </c>
      <c r="C827" s="128">
        <v>18771.25</v>
      </c>
      <c r="D827" s="129">
        <f t="shared" si="14"/>
        <v>-0.00563361523606576</v>
      </c>
    </row>
    <row r="828" ht="14.25" customHeight="1" spans="2:4">
      <c r="B828" s="136">
        <v>45098</v>
      </c>
      <c r="C828" s="128">
        <v>18856.85</v>
      </c>
      <c r="D828" s="129">
        <f t="shared" si="14"/>
        <v>-0.00453946443865216</v>
      </c>
    </row>
    <row r="829" ht="14.25" customHeight="1" spans="2:4">
      <c r="B829" s="136">
        <v>45097</v>
      </c>
      <c r="C829" s="128">
        <v>18816.7</v>
      </c>
      <c r="D829" s="129">
        <f t="shared" si="14"/>
        <v>0.00213374289859525</v>
      </c>
    </row>
    <row r="830" ht="14.25" customHeight="1" spans="2:4">
      <c r="B830" s="136">
        <v>45096</v>
      </c>
      <c r="C830" s="128">
        <v>18755.45</v>
      </c>
      <c r="D830" s="129">
        <f t="shared" si="14"/>
        <v>0.00326571743146653</v>
      </c>
    </row>
    <row r="831" ht="14.25" customHeight="1" spans="2:4">
      <c r="B831" s="136">
        <v>45093</v>
      </c>
      <c r="C831" s="128">
        <v>18826</v>
      </c>
      <c r="D831" s="129">
        <f t="shared" si="14"/>
        <v>-0.00374747689365762</v>
      </c>
    </row>
    <row r="832" ht="14.25" customHeight="1" spans="2:4">
      <c r="B832" s="136">
        <v>45092</v>
      </c>
      <c r="C832" s="128">
        <v>18688.1</v>
      </c>
      <c r="D832" s="129">
        <f t="shared" si="14"/>
        <v>0.00737902729544482</v>
      </c>
    </row>
    <row r="833" ht="14.25" customHeight="1" spans="2:4">
      <c r="B833" s="136">
        <v>45091</v>
      </c>
      <c r="C833" s="128">
        <v>18755.9</v>
      </c>
      <c r="D833" s="129">
        <f t="shared" si="14"/>
        <v>-0.00361486252325949</v>
      </c>
    </row>
    <row r="834" ht="14.25" customHeight="1" spans="2:4">
      <c r="B834" s="136">
        <v>45090</v>
      </c>
      <c r="C834" s="128">
        <v>18716.15</v>
      </c>
      <c r="D834" s="129">
        <f t="shared" ref="D834:D897" si="15">C833/C834-1</f>
        <v>0.00212383422872753</v>
      </c>
    </row>
    <row r="835" ht="14.25" customHeight="1" spans="2:4">
      <c r="B835" s="136">
        <v>45089</v>
      </c>
      <c r="C835" s="128">
        <v>18601.5</v>
      </c>
      <c r="D835" s="129">
        <f t="shared" si="15"/>
        <v>0.00616348143966894</v>
      </c>
    </row>
    <row r="836" ht="14.25" customHeight="1" spans="2:4">
      <c r="B836" s="136">
        <v>45086</v>
      </c>
      <c r="C836" s="128">
        <v>18563.4</v>
      </c>
      <c r="D836" s="129">
        <f t="shared" si="15"/>
        <v>0.0020524257409742</v>
      </c>
    </row>
    <row r="837" ht="14.25" customHeight="1" spans="2:4">
      <c r="B837" s="136">
        <v>45085</v>
      </c>
      <c r="C837" s="128">
        <v>18634.55</v>
      </c>
      <c r="D837" s="129">
        <f t="shared" si="15"/>
        <v>-0.00381817645180582</v>
      </c>
    </row>
    <row r="838" ht="14.25" customHeight="1" spans="2:4">
      <c r="B838" s="136">
        <v>45084</v>
      </c>
      <c r="C838" s="128">
        <v>18726.4</v>
      </c>
      <c r="D838" s="129">
        <f t="shared" si="15"/>
        <v>-0.00490484022556403</v>
      </c>
    </row>
    <row r="839" ht="14.25" customHeight="1" spans="2:4">
      <c r="B839" s="136">
        <v>45083</v>
      </c>
      <c r="C839" s="128">
        <v>18599</v>
      </c>
      <c r="D839" s="129">
        <f t="shared" si="15"/>
        <v>0.00684983063605582</v>
      </c>
    </row>
    <row r="840" ht="14.25" customHeight="1" spans="2:4">
      <c r="B840" s="136">
        <v>45082</v>
      </c>
      <c r="C840" s="128">
        <v>18593.85</v>
      </c>
      <c r="D840" s="129">
        <f t="shared" si="15"/>
        <v>0.000276973300311845</v>
      </c>
    </row>
    <row r="841" ht="14.25" customHeight="1" spans="2:4">
      <c r="B841" s="136">
        <v>45079</v>
      </c>
      <c r="C841" s="128">
        <v>18534.1</v>
      </c>
      <c r="D841" s="129">
        <f t="shared" si="15"/>
        <v>0.00322378750519303</v>
      </c>
    </row>
    <row r="842" ht="14.25" customHeight="1" spans="2:4">
      <c r="B842" s="136">
        <v>45078</v>
      </c>
      <c r="C842" s="128">
        <v>18487.75</v>
      </c>
      <c r="D842" s="129">
        <f t="shared" si="15"/>
        <v>0.00250706548931046</v>
      </c>
    </row>
    <row r="843" ht="14.25" customHeight="1" spans="2:4">
      <c r="B843" s="136">
        <v>45077</v>
      </c>
      <c r="C843" s="128">
        <v>18534.4</v>
      </c>
      <c r="D843" s="129">
        <f t="shared" si="15"/>
        <v>-0.00251694147099457</v>
      </c>
    </row>
    <row r="844" ht="14.25" customHeight="1" spans="2:4">
      <c r="B844" s="136">
        <v>45076</v>
      </c>
      <c r="C844" s="128">
        <v>18633.85</v>
      </c>
      <c r="D844" s="129">
        <f t="shared" si="15"/>
        <v>-0.005337061315831</v>
      </c>
    </row>
    <row r="845" ht="14.25" customHeight="1" spans="2:4">
      <c r="B845" s="136">
        <v>45075</v>
      </c>
      <c r="C845" s="128">
        <v>18598.65</v>
      </c>
      <c r="D845" s="129">
        <f t="shared" si="15"/>
        <v>0.00189261048516953</v>
      </c>
    </row>
    <row r="846" ht="14.25" customHeight="1" spans="2:4">
      <c r="B846" s="136">
        <v>45072</v>
      </c>
      <c r="C846" s="128">
        <v>18499.35</v>
      </c>
      <c r="D846" s="129">
        <f t="shared" si="15"/>
        <v>0.00536775616440588</v>
      </c>
    </row>
    <row r="847" ht="14.25" customHeight="1" spans="2:4">
      <c r="B847" s="136">
        <v>45071</v>
      </c>
      <c r="C847" s="128">
        <v>18321.15</v>
      </c>
      <c r="D847" s="129">
        <f t="shared" si="15"/>
        <v>0.00972646367722541</v>
      </c>
    </row>
    <row r="848" ht="14.25" customHeight="1" spans="2:4">
      <c r="B848" s="136">
        <v>45070</v>
      </c>
      <c r="C848" s="128">
        <v>18285.4</v>
      </c>
      <c r="D848" s="129">
        <f t="shared" si="15"/>
        <v>0.00195511172848284</v>
      </c>
    </row>
    <row r="849" ht="14.25" customHeight="1" spans="2:4">
      <c r="B849" s="136">
        <v>45069</v>
      </c>
      <c r="C849" s="128">
        <v>18348</v>
      </c>
      <c r="D849" s="129">
        <f t="shared" si="15"/>
        <v>-0.00341181600174401</v>
      </c>
    </row>
    <row r="850" ht="14.25" customHeight="1" spans="2:4">
      <c r="B850" s="136">
        <v>45068</v>
      </c>
      <c r="C850" s="128">
        <v>18314.4</v>
      </c>
      <c r="D850" s="129">
        <f t="shared" si="15"/>
        <v>0.00183462193683659</v>
      </c>
    </row>
    <row r="851" ht="14.25" customHeight="1" spans="2:4">
      <c r="B851" s="136">
        <v>45065</v>
      </c>
      <c r="C851" s="128">
        <v>18203.4</v>
      </c>
      <c r="D851" s="129">
        <f t="shared" si="15"/>
        <v>0.00609776195655765</v>
      </c>
    </row>
    <row r="852" ht="14.25" customHeight="1" spans="2:4">
      <c r="B852" s="136">
        <v>45064</v>
      </c>
      <c r="C852" s="128">
        <v>18129.95</v>
      </c>
      <c r="D852" s="129">
        <f t="shared" si="15"/>
        <v>0.00405130736709158</v>
      </c>
    </row>
    <row r="853" ht="14.25" customHeight="1" spans="2:4">
      <c r="B853" s="136">
        <v>45063</v>
      </c>
      <c r="C853" s="128">
        <v>18181.75</v>
      </c>
      <c r="D853" s="129">
        <f t="shared" si="15"/>
        <v>-0.00284901068379007</v>
      </c>
    </row>
    <row r="854" ht="14.25" customHeight="1" spans="2:4">
      <c r="B854" s="136">
        <v>45062</v>
      </c>
      <c r="C854" s="128">
        <v>18286.5</v>
      </c>
      <c r="D854" s="129">
        <f t="shared" si="15"/>
        <v>-0.00572826948842042</v>
      </c>
    </row>
    <row r="855" ht="14.25" customHeight="1" spans="2:4">
      <c r="B855" s="136">
        <v>45061</v>
      </c>
      <c r="C855" s="128">
        <v>18398.85</v>
      </c>
      <c r="D855" s="129">
        <f t="shared" si="15"/>
        <v>-0.00610635990836372</v>
      </c>
    </row>
    <row r="856" ht="14.25" customHeight="1" spans="2:4">
      <c r="B856" s="136">
        <v>45058</v>
      </c>
      <c r="C856" s="128">
        <v>18314.8</v>
      </c>
      <c r="D856" s="129">
        <f t="shared" si="15"/>
        <v>0.00458918470308167</v>
      </c>
    </row>
    <row r="857" ht="14.25" customHeight="1" spans="2:4">
      <c r="B857" s="136">
        <v>45057</v>
      </c>
      <c r="C857" s="128">
        <v>18297</v>
      </c>
      <c r="D857" s="129">
        <f t="shared" si="15"/>
        <v>0.000972837077116484</v>
      </c>
    </row>
    <row r="858" ht="14.25" customHeight="1" spans="2:4">
      <c r="B858" s="136">
        <v>45056</v>
      </c>
      <c r="C858" s="128">
        <v>18315.1</v>
      </c>
      <c r="D858" s="129">
        <f t="shared" si="15"/>
        <v>-0.000988255592380027</v>
      </c>
    </row>
    <row r="859" ht="14.25" customHeight="1" spans="2:4">
      <c r="B859" s="136">
        <v>45055</v>
      </c>
      <c r="C859" s="128">
        <v>18265.95</v>
      </c>
      <c r="D859" s="129">
        <f t="shared" si="15"/>
        <v>0.00269079900032554</v>
      </c>
    </row>
    <row r="860" ht="14.25" customHeight="1" spans="2:4">
      <c r="B860" s="136">
        <v>45054</v>
      </c>
      <c r="C860" s="128">
        <v>18264.4</v>
      </c>
      <c r="D860" s="129">
        <f t="shared" si="15"/>
        <v>8.48645452355967e-5</v>
      </c>
    </row>
    <row r="861" ht="14.25" customHeight="1" spans="2:4">
      <c r="B861" s="136">
        <v>45051</v>
      </c>
      <c r="C861" s="128">
        <v>18069</v>
      </c>
      <c r="D861" s="129">
        <f t="shared" si="15"/>
        <v>0.0108141014998064</v>
      </c>
    </row>
    <row r="862" ht="14.25" customHeight="1" spans="2:4">
      <c r="B862" s="136">
        <v>45050</v>
      </c>
      <c r="C862" s="128">
        <v>18255.8</v>
      </c>
      <c r="D862" s="129">
        <f t="shared" si="15"/>
        <v>-0.0102323645088136</v>
      </c>
    </row>
    <row r="863" ht="14.25" customHeight="1" spans="2:4">
      <c r="B863" s="136">
        <v>45049</v>
      </c>
      <c r="C863" s="128">
        <v>18089.85</v>
      </c>
      <c r="D863" s="129">
        <f t="shared" si="15"/>
        <v>0.00917365262840764</v>
      </c>
    </row>
    <row r="864" ht="14.25" customHeight="1" spans="2:4">
      <c r="B864" s="136">
        <v>45048</v>
      </c>
      <c r="C864" s="128">
        <v>18147.65</v>
      </c>
      <c r="D864" s="129">
        <f t="shared" si="15"/>
        <v>-0.00318498538378265</v>
      </c>
    </row>
    <row r="865" ht="14.25" customHeight="1" spans="2:4">
      <c r="B865" s="136">
        <v>45044</v>
      </c>
      <c r="C865" s="128">
        <v>18065</v>
      </c>
      <c r="D865" s="129">
        <f t="shared" si="15"/>
        <v>0.00457514530860781</v>
      </c>
    </row>
    <row r="866" ht="14.25" customHeight="1" spans="2:4">
      <c r="B866" s="136">
        <v>45043</v>
      </c>
      <c r="C866" s="128">
        <v>17915.05</v>
      </c>
      <c r="D866" s="129">
        <f t="shared" si="15"/>
        <v>0.00837005757728848</v>
      </c>
    </row>
    <row r="867" ht="14.25" customHeight="1" spans="2:4">
      <c r="B867" s="136">
        <v>45042</v>
      </c>
      <c r="C867" s="128">
        <v>17813.6</v>
      </c>
      <c r="D867" s="129">
        <f t="shared" si="15"/>
        <v>0.00569508689989684</v>
      </c>
    </row>
    <row r="868" ht="14.25" customHeight="1" spans="2:4">
      <c r="B868" s="136">
        <v>45041</v>
      </c>
      <c r="C868" s="128">
        <v>17769.25</v>
      </c>
      <c r="D868" s="129">
        <f t="shared" si="15"/>
        <v>0.00249588474471341</v>
      </c>
    </row>
    <row r="869" ht="14.25" customHeight="1" spans="2:4">
      <c r="B869" s="136">
        <v>45040</v>
      </c>
      <c r="C869" s="128">
        <v>17743.4</v>
      </c>
      <c r="D869" s="129">
        <f t="shared" si="15"/>
        <v>0.00145687974119957</v>
      </c>
    </row>
    <row r="870" ht="14.25" customHeight="1" spans="2:4">
      <c r="B870" s="136">
        <v>45037</v>
      </c>
      <c r="C870" s="128">
        <v>17624.05</v>
      </c>
      <c r="D870" s="129">
        <f t="shared" si="15"/>
        <v>0.00677199622107305</v>
      </c>
    </row>
    <row r="871" ht="14.25" customHeight="1" spans="2:4">
      <c r="B871" s="136">
        <v>45036</v>
      </c>
      <c r="C871" s="128">
        <v>17624.45</v>
      </c>
      <c r="D871" s="129">
        <f t="shared" si="15"/>
        <v>-2.26957436970654e-5</v>
      </c>
    </row>
    <row r="872" ht="14.25" customHeight="1" spans="2:4">
      <c r="B872" s="136">
        <v>45035</v>
      </c>
      <c r="C872" s="128">
        <v>17618.75</v>
      </c>
      <c r="D872" s="129">
        <f t="shared" si="15"/>
        <v>0.000323518978361248</v>
      </c>
    </row>
    <row r="873" ht="14.25" customHeight="1" spans="2:4">
      <c r="B873" s="136">
        <v>45034</v>
      </c>
      <c r="C873" s="128">
        <v>17660.15</v>
      </c>
      <c r="D873" s="129">
        <f t="shared" si="15"/>
        <v>-0.00234426094908602</v>
      </c>
    </row>
    <row r="874" ht="14.25" customHeight="1" spans="2:4">
      <c r="B874" s="136">
        <v>45033</v>
      </c>
      <c r="C874" s="128">
        <v>17706.85</v>
      </c>
      <c r="D874" s="129">
        <f t="shared" si="15"/>
        <v>-0.00263739739140489</v>
      </c>
    </row>
    <row r="875" ht="14.25" customHeight="1" spans="2:4">
      <c r="B875" s="136">
        <v>45029</v>
      </c>
      <c r="C875" s="128">
        <v>17828</v>
      </c>
      <c r="D875" s="129">
        <f t="shared" si="15"/>
        <v>-0.00679549024007187</v>
      </c>
    </row>
    <row r="876" ht="14.25" customHeight="1" spans="2:4">
      <c r="B876" s="136">
        <v>45028</v>
      </c>
      <c r="C876" s="128">
        <v>17812.4</v>
      </c>
      <c r="D876" s="129">
        <f t="shared" si="15"/>
        <v>0.000875794390424511</v>
      </c>
    </row>
    <row r="877" ht="14.25" customHeight="1" spans="2:4">
      <c r="B877" s="136">
        <v>45027</v>
      </c>
      <c r="C877" s="128">
        <v>17722.3</v>
      </c>
      <c r="D877" s="129">
        <f t="shared" si="15"/>
        <v>0.00508399022700234</v>
      </c>
    </row>
    <row r="878" ht="14.25" customHeight="1" spans="2:4">
      <c r="B878" s="136">
        <v>45026</v>
      </c>
      <c r="C878" s="128">
        <v>17624.05</v>
      </c>
      <c r="D878" s="129">
        <f t="shared" si="15"/>
        <v>0.0055747685690859</v>
      </c>
    </row>
    <row r="879" ht="14.25" customHeight="1" spans="2:4">
      <c r="B879" s="136">
        <v>45022</v>
      </c>
      <c r="C879" s="128">
        <v>17599.15</v>
      </c>
      <c r="D879" s="129">
        <f t="shared" si="15"/>
        <v>0.00141484105766465</v>
      </c>
    </row>
    <row r="880" ht="14.25" customHeight="1" spans="2:4">
      <c r="B880" s="136">
        <v>45021</v>
      </c>
      <c r="C880" s="128">
        <v>17557.05</v>
      </c>
      <c r="D880" s="129">
        <f t="shared" si="15"/>
        <v>0.00239789714103456</v>
      </c>
    </row>
    <row r="881" ht="14.25" customHeight="1" spans="2:4">
      <c r="B881" s="136">
        <v>45019</v>
      </c>
      <c r="C881" s="128">
        <v>17398.05</v>
      </c>
      <c r="D881" s="129">
        <f t="shared" si="15"/>
        <v>0.009138955227741</v>
      </c>
    </row>
    <row r="882" ht="14.25" customHeight="1" spans="2:4">
      <c r="B882" s="136">
        <v>45016</v>
      </c>
      <c r="C882" s="128">
        <v>17359.75</v>
      </c>
      <c r="D882" s="129">
        <f t="shared" si="15"/>
        <v>0.00220625297023291</v>
      </c>
    </row>
    <row r="883" ht="14.25" customHeight="1" spans="2:4">
      <c r="B883" s="136">
        <v>45014</v>
      </c>
      <c r="C883" s="128">
        <v>17080.7</v>
      </c>
      <c r="D883" s="129">
        <f t="shared" si="15"/>
        <v>0.0163371524586229</v>
      </c>
    </row>
    <row r="884" ht="14.25" customHeight="1" spans="2:4">
      <c r="B884" s="136">
        <v>45013</v>
      </c>
      <c r="C884" s="128">
        <v>16951.7</v>
      </c>
      <c r="D884" s="129">
        <f t="shared" si="15"/>
        <v>0.00760985623860733</v>
      </c>
    </row>
    <row r="885" ht="14.25" customHeight="1" spans="2:4">
      <c r="B885" s="136">
        <v>45012</v>
      </c>
      <c r="C885" s="128">
        <v>16985.7</v>
      </c>
      <c r="D885" s="129">
        <f t="shared" si="15"/>
        <v>-0.00200168376928833</v>
      </c>
    </row>
    <row r="886" ht="14.25" customHeight="1" spans="2:4">
      <c r="B886" s="136">
        <v>45009</v>
      </c>
      <c r="C886" s="128">
        <v>16945.05</v>
      </c>
      <c r="D886" s="129">
        <f t="shared" si="15"/>
        <v>0.0023989306611667</v>
      </c>
    </row>
    <row r="887" ht="14.25" customHeight="1" spans="2:4">
      <c r="B887" s="136">
        <v>45008</v>
      </c>
      <c r="C887" s="128">
        <v>17076.9</v>
      </c>
      <c r="D887" s="129">
        <f t="shared" si="15"/>
        <v>-0.00772095637967096</v>
      </c>
    </row>
    <row r="888" ht="14.25" customHeight="1" spans="2:4">
      <c r="B888" s="136">
        <v>45007</v>
      </c>
      <c r="C888" s="128">
        <v>17151.9</v>
      </c>
      <c r="D888" s="129">
        <f t="shared" si="15"/>
        <v>-0.0043726934042293</v>
      </c>
    </row>
    <row r="889" ht="14.25" customHeight="1" spans="2:4">
      <c r="B889" s="136">
        <v>45006</v>
      </c>
      <c r="C889" s="128">
        <v>17107.5</v>
      </c>
      <c r="D889" s="129">
        <f t="shared" si="15"/>
        <v>0.00259535291538815</v>
      </c>
    </row>
    <row r="890" ht="14.25" customHeight="1" spans="2:4">
      <c r="B890" s="136">
        <v>45005</v>
      </c>
      <c r="C890" s="128">
        <v>16988.4</v>
      </c>
      <c r="D890" s="129">
        <f t="shared" si="15"/>
        <v>0.00701066610157519</v>
      </c>
    </row>
    <row r="891" ht="14.25" customHeight="1" spans="2:4">
      <c r="B891" s="136">
        <v>45002</v>
      </c>
      <c r="C891" s="128">
        <v>17100.05</v>
      </c>
      <c r="D891" s="129">
        <f t="shared" si="15"/>
        <v>-0.00652922067479322</v>
      </c>
    </row>
    <row r="892" ht="14.25" customHeight="1" spans="2:4">
      <c r="B892" s="136">
        <v>45001</v>
      </c>
      <c r="C892" s="128">
        <v>16985.6</v>
      </c>
      <c r="D892" s="129">
        <f t="shared" si="15"/>
        <v>0.00673806047475511</v>
      </c>
    </row>
    <row r="893" ht="14.25" customHeight="1" spans="2:4">
      <c r="B893" s="136">
        <v>45000</v>
      </c>
      <c r="C893" s="128">
        <v>16972.15</v>
      </c>
      <c r="D893" s="129">
        <f t="shared" si="15"/>
        <v>0.000792474730661574</v>
      </c>
    </row>
    <row r="894" ht="14.25" customHeight="1" spans="2:4">
      <c r="B894" s="136">
        <v>44999</v>
      </c>
      <c r="C894" s="128">
        <v>17043.3</v>
      </c>
      <c r="D894" s="129">
        <f t="shared" si="15"/>
        <v>-0.00417466101048491</v>
      </c>
    </row>
    <row r="895" ht="14.25" customHeight="1" spans="2:4">
      <c r="B895" s="136">
        <v>44998</v>
      </c>
      <c r="C895" s="128">
        <v>17154.3</v>
      </c>
      <c r="D895" s="129">
        <f t="shared" si="15"/>
        <v>-0.00647068082055224</v>
      </c>
    </row>
    <row r="896" ht="14.25" customHeight="1" spans="2:4">
      <c r="B896" s="136">
        <v>44995</v>
      </c>
      <c r="C896" s="128">
        <v>17412.9</v>
      </c>
      <c r="D896" s="129">
        <f t="shared" si="15"/>
        <v>-0.0148510586978621</v>
      </c>
    </row>
    <row r="897" ht="14.25" customHeight="1" spans="2:4">
      <c r="B897" s="136">
        <v>44994</v>
      </c>
      <c r="C897" s="128">
        <v>17589.6</v>
      </c>
      <c r="D897" s="129">
        <f t="shared" si="15"/>
        <v>-0.0100457088279436</v>
      </c>
    </row>
    <row r="898" ht="14.25" customHeight="1" spans="2:4">
      <c r="B898" s="136">
        <v>44993</v>
      </c>
      <c r="C898" s="128">
        <v>17754.4</v>
      </c>
      <c r="D898" s="129">
        <f t="shared" ref="D898:D961" si="16">C897/C898-1</f>
        <v>-0.00928220610102304</v>
      </c>
    </row>
    <row r="899" ht="14.25" customHeight="1" spans="2:4">
      <c r="B899" s="136">
        <v>44991</v>
      </c>
      <c r="C899" s="128">
        <v>17711.45</v>
      </c>
      <c r="D899" s="129">
        <f t="shared" si="16"/>
        <v>0.00242498496735166</v>
      </c>
    </row>
    <row r="900" ht="14.25" customHeight="1" spans="2:4">
      <c r="B900" s="136">
        <v>44988</v>
      </c>
      <c r="C900" s="128">
        <v>17594.35</v>
      </c>
      <c r="D900" s="129">
        <f t="shared" si="16"/>
        <v>0.00665554567233251</v>
      </c>
    </row>
    <row r="901" ht="14.25" customHeight="1" spans="2:4">
      <c r="B901" s="136">
        <v>44987</v>
      </c>
      <c r="C901" s="128">
        <v>17321.9</v>
      </c>
      <c r="D901" s="129">
        <f t="shared" si="16"/>
        <v>0.0157286440863875</v>
      </c>
    </row>
    <row r="902" ht="14.25" customHeight="1" spans="2:4">
      <c r="B902" s="136">
        <v>44986</v>
      </c>
      <c r="C902" s="128">
        <v>17450.9</v>
      </c>
      <c r="D902" s="129">
        <f t="shared" si="16"/>
        <v>-0.00739216888527239</v>
      </c>
    </row>
    <row r="903" ht="14.25" customHeight="1" spans="2:4">
      <c r="B903" s="136">
        <v>44985</v>
      </c>
      <c r="C903" s="128">
        <v>17303.95</v>
      </c>
      <c r="D903" s="129">
        <f t="shared" si="16"/>
        <v>0.00849228066424135</v>
      </c>
    </row>
    <row r="904" ht="14.25" customHeight="1" spans="2:4">
      <c r="B904" s="136">
        <v>44984</v>
      </c>
      <c r="C904" s="128">
        <v>17392.7</v>
      </c>
      <c r="D904" s="129">
        <f t="shared" si="16"/>
        <v>-0.00510271550708052</v>
      </c>
    </row>
    <row r="905" ht="14.25" customHeight="1" spans="2:4">
      <c r="B905" s="136">
        <v>44981</v>
      </c>
      <c r="C905" s="128">
        <v>17465.8</v>
      </c>
      <c r="D905" s="129">
        <f t="shared" si="16"/>
        <v>-0.00418532217247414</v>
      </c>
    </row>
    <row r="906" ht="14.25" customHeight="1" spans="2:4">
      <c r="B906" s="136">
        <v>44980</v>
      </c>
      <c r="C906" s="128">
        <v>17511.25</v>
      </c>
      <c r="D906" s="129">
        <f t="shared" si="16"/>
        <v>-0.00259547433792562</v>
      </c>
    </row>
    <row r="907" ht="14.25" customHeight="1" spans="2:4">
      <c r="B907" s="136">
        <v>44979</v>
      </c>
      <c r="C907" s="128">
        <v>17554.3</v>
      </c>
      <c r="D907" s="129">
        <f t="shared" si="16"/>
        <v>-0.00245239058236435</v>
      </c>
    </row>
    <row r="908" ht="14.25" customHeight="1" spans="2:4">
      <c r="B908" s="136">
        <v>44978</v>
      </c>
      <c r="C908" s="128">
        <v>17826.7</v>
      </c>
      <c r="D908" s="129">
        <f t="shared" si="16"/>
        <v>-0.0152804501113499</v>
      </c>
    </row>
    <row r="909" ht="14.25" customHeight="1" spans="2:4">
      <c r="B909" s="136">
        <v>44977</v>
      </c>
      <c r="C909" s="128">
        <v>17844.6</v>
      </c>
      <c r="D909" s="129">
        <f t="shared" si="16"/>
        <v>-0.00100310458065733</v>
      </c>
    </row>
    <row r="910" ht="14.25" customHeight="1" spans="2:4">
      <c r="B910" s="136">
        <v>44974</v>
      </c>
      <c r="C910" s="128">
        <v>17944.2</v>
      </c>
      <c r="D910" s="129">
        <f t="shared" si="16"/>
        <v>-0.00555054000735622</v>
      </c>
    </row>
    <row r="911" ht="14.25" customHeight="1" spans="2:4">
      <c r="B911" s="136">
        <v>44973</v>
      </c>
      <c r="C911" s="128">
        <v>18035.85</v>
      </c>
      <c r="D911" s="129">
        <f t="shared" si="16"/>
        <v>-0.00508154592104049</v>
      </c>
    </row>
    <row r="912" ht="14.25" customHeight="1" spans="2:4">
      <c r="B912" s="136">
        <v>44972</v>
      </c>
      <c r="C912" s="128">
        <v>18015.85</v>
      </c>
      <c r="D912" s="129">
        <f t="shared" si="16"/>
        <v>0.00111013357682266</v>
      </c>
    </row>
    <row r="913" ht="14.25" customHeight="1" spans="2:4">
      <c r="B913" s="136">
        <v>44971</v>
      </c>
      <c r="C913" s="128">
        <v>17929.85</v>
      </c>
      <c r="D913" s="129">
        <f t="shared" si="16"/>
        <v>0.00479647068993883</v>
      </c>
    </row>
    <row r="914" ht="14.25" customHeight="1" spans="2:4">
      <c r="B914" s="136">
        <v>44970</v>
      </c>
      <c r="C914" s="128">
        <v>17770.9</v>
      </c>
      <c r="D914" s="129">
        <f t="shared" si="16"/>
        <v>0.00894439786392343</v>
      </c>
    </row>
    <row r="915" ht="14.25" customHeight="1" spans="2:4">
      <c r="B915" s="136">
        <v>44967</v>
      </c>
      <c r="C915" s="128">
        <v>17856.5</v>
      </c>
      <c r="D915" s="129">
        <f t="shared" si="16"/>
        <v>-0.00479377257581259</v>
      </c>
    </row>
    <row r="916" ht="14.25" customHeight="1" spans="2:4">
      <c r="B916" s="136">
        <v>44966</v>
      </c>
      <c r="C916" s="128">
        <v>17893.45</v>
      </c>
      <c r="D916" s="129">
        <f t="shared" si="16"/>
        <v>-0.00206500143907407</v>
      </c>
    </row>
    <row r="917" ht="14.25" customHeight="1" spans="2:4">
      <c r="B917" s="136">
        <v>44965</v>
      </c>
      <c r="C917" s="128">
        <v>17871.7</v>
      </c>
      <c r="D917" s="129">
        <f t="shared" si="16"/>
        <v>0.00121700789516388</v>
      </c>
    </row>
    <row r="918" ht="14.25" customHeight="1" spans="2:4">
      <c r="B918" s="136">
        <v>44964</v>
      </c>
      <c r="C918" s="128">
        <v>17721.5</v>
      </c>
      <c r="D918" s="129">
        <f t="shared" si="16"/>
        <v>0.00847558050955066</v>
      </c>
    </row>
    <row r="919" ht="14.25" customHeight="1" spans="2:4">
      <c r="B919" s="136">
        <v>44963</v>
      </c>
      <c r="C919" s="128">
        <v>17764.6</v>
      </c>
      <c r="D919" s="129">
        <f t="shared" si="16"/>
        <v>-0.00242617340103346</v>
      </c>
    </row>
    <row r="920" ht="14.25" customHeight="1" spans="2:4">
      <c r="B920" s="136">
        <v>44960</v>
      </c>
      <c r="C920" s="128">
        <v>17854.05</v>
      </c>
      <c r="D920" s="129">
        <f t="shared" si="16"/>
        <v>-0.00501006774373325</v>
      </c>
    </row>
    <row r="921" ht="14.25" customHeight="1" spans="2:4">
      <c r="B921" s="136">
        <v>44959</v>
      </c>
      <c r="C921" s="128">
        <v>17610.4</v>
      </c>
      <c r="D921" s="129">
        <f t="shared" si="16"/>
        <v>0.0138355744332892</v>
      </c>
    </row>
    <row r="922" ht="14.25" customHeight="1" spans="2:4">
      <c r="B922" s="136">
        <v>44958</v>
      </c>
      <c r="C922" s="128">
        <v>17616.3</v>
      </c>
      <c r="D922" s="129">
        <f t="shared" si="16"/>
        <v>-0.000334917093827714</v>
      </c>
    </row>
    <row r="923" ht="14.25" customHeight="1" spans="2:4">
      <c r="B923" s="136">
        <v>44957</v>
      </c>
      <c r="C923" s="128">
        <v>17662.15</v>
      </c>
      <c r="D923" s="129">
        <f t="shared" si="16"/>
        <v>-0.00259594669958085</v>
      </c>
    </row>
    <row r="924" ht="14.25" customHeight="1" spans="2:4">
      <c r="B924" s="136">
        <v>44956</v>
      </c>
      <c r="C924" s="128">
        <v>17648.95</v>
      </c>
      <c r="D924" s="129">
        <f t="shared" si="16"/>
        <v>0.000747919847922995</v>
      </c>
    </row>
    <row r="925" ht="14.25" customHeight="1" spans="2:4">
      <c r="B925" s="136">
        <v>44953</v>
      </c>
      <c r="C925" s="128">
        <v>17604.35</v>
      </c>
      <c r="D925" s="129">
        <f t="shared" si="16"/>
        <v>0.00253346474024907</v>
      </c>
    </row>
    <row r="926" ht="14.25" customHeight="1" spans="2:4">
      <c r="B926" s="136">
        <v>44951</v>
      </c>
      <c r="C926" s="128">
        <v>17891.95</v>
      </c>
      <c r="D926" s="129">
        <f t="shared" si="16"/>
        <v>-0.0160742680367429</v>
      </c>
    </row>
    <row r="927" ht="14.25" customHeight="1" spans="2:4">
      <c r="B927" s="136">
        <v>44950</v>
      </c>
      <c r="C927" s="128">
        <v>18118.3</v>
      </c>
      <c r="D927" s="129">
        <f t="shared" si="16"/>
        <v>-0.0124928939249267</v>
      </c>
    </row>
    <row r="928" ht="14.25" customHeight="1" spans="2:4">
      <c r="B928" s="136">
        <v>44949</v>
      </c>
      <c r="C928" s="128">
        <v>18118.55</v>
      </c>
      <c r="D928" s="129">
        <f t="shared" si="16"/>
        <v>-1.37980136379889e-5</v>
      </c>
    </row>
    <row r="929" ht="14.25" customHeight="1" spans="2:4">
      <c r="B929" s="136">
        <v>44946</v>
      </c>
      <c r="C929" s="128">
        <v>18027.65</v>
      </c>
      <c r="D929" s="129">
        <f t="shared" si="16"/>
        <v>0.00504225453678098</v>
      </c>
    </row>
    <row r="930" ht="14.25" customHeight="1" spans="2:4">
      <c r="B930" s="136">
        <v>44945</v>
      </c>
      <c r="C930" s="128">
        <v>18107.85</v>
      </c>
      <c r="D930" s="129">
        <f t="shared" si="16"/>
        <v>-0.00442901835391818</v>
      </c>
    </row>
    <row r="931" ht="14.25" customHeight="1" spans="2:4">
      <c r="B931" s="136">
        <v>44944</v>
      </c>
      <c r="C931" s="128">
        <v>18165.35</v>
      </c>
      <c r="D931" s="129">
        <f t="shared" si="16"/>
        <v>-0.00316536703118853</v>
      </c>
    </row>
    <row r="932" ht="14.25" customHeight="1" spans="2:4">
      <c r="B932" s="136">
        <v>44943</v>
      </c>
      <c r="C932" s="128">
        <v>18053.3</v>
      </c>
      <c r="D932" s="129">
        <f t="shared" si="16"/>
        <v>0.00620662150410167</v>
      </c>
    </row>
    <row r="933" ht="14.25" customHeight="1" spans="2:4">
      <c r="B933" s="136">
        <v>44942</v>
      </c>
      <c r="C933" s="128">
        <v>17894.85</v>
      </c>
      <c r="D933" s="129">
        <f t="shared" si="16"/>
        <v>0.00885450283182032</v>
      </c>
    </row>
    <row r="934" ht="14.25" customHeight="1" spans="2:4">
      <c r="B934" s="136">
        <v>44939</v>
      </c>
      <c r="C934" s="128">
        <v>17956.6</v>
      </c>
      <c r="D934" s="129">
        <f t="shared" si="16"/>
        <v>-0.00343884699776131</v>
      </c>
    </row>
    <row r="935" ht="14.25" customHeight="1" spans="2:4">
      <c r="B935" s="136">
        <v>44938</v>
      </c>
      <c r="C935" s="128">
        <v>17858.2</v>
      </c>
      <c r="D935" s="129">
        <f t="shared" si="16"/>
        <v>0.00551007380363067</v>
      </c>
    </row>
    <row r="936" ht="14.25" customHeight="1" spans="2:4">
      <c r="B936" s="136">
        <v>44937</v>
      </c>
      <c r="C936" s="128">
        <v>17895.7</v>
      </c>
      <c r="D936" s="129">
        <f t="shared" si="16"/>
        <v>-0.00209547544940969</v>
      </c>
    </row>
    <row r="937" ht="14.25" customHeight="1" spans="2:4">
      <c r="B937" s="136">
        <v>44936</v>
      </c>
      <c r="C937" s="128">
        <v>17914.15</v>
      </c>
      <c r="D937" s="129">
        <f t="shared" si="16"/>
        <v>-0.00102991210858461</v>
      </c>
    </row>
    <row r="938" ht="14.25" customHeight="1" spans="2:4">
      <c r="B938" s="136">
        <v>44935</v>
      </c>
      <c r="C938" s="128">
        <v>18101.2</v>
      </c>
      <c r="D938" s="129">
        <f t="shared" si="16"/>
        <v>-0.0103335690451462</v>
      </c>
    </row>
    <row r="939" ht="14.25" customHeight="1" spans="2:4">
      <c r="B939" s="136">
        <v>44932</v>
      </c>
      <c r="C939" s="128">
        <v>17859.45</v>
      </c>
      <c r="D939" s="129">
        <f t="shared" si="16"/>
        <v>0.0135362511163557</v>
      </c>
    </row>
    <row r="940" ht="14.25" customHeight="1" spans="2:4">
      <c r="B940" s="136">
        <v>44931</v>
      </c>
      <c r="C940" s="128">
        <v>17992.15</v>
      </c>
      <c r="D940" s="129">
        <f t="shared" si="16"/>
        <v>-0.00737543873300306</v>
      </c>
    </row>
    <row r="941" ht="14.25" customHeight="1" spans="2:4">
      <c r="B941" s="136">
        <v>44930</v>
      </c>
      <c r="C941" s="128">
        <v>18042.95</v>
      </c>
      <c r="D941" s="129">
        <f t="shared" si="16"/>
        <v>-0.00281550411656628</v>
      </c>
    </row>
    <row r="942" ht="14.25" customHeight="1" spans="2:4">
      <c r="B942" s="136">
        <v>44929</v>
      </c>
      <c r="C942" s="128">
        <v>18232.55</v>
      </c>
      <c r="D942" s="129">
        <f t="shared" si="16"/>
        <v>-0.0103989842342403</v>
      </c>
    </row>
    <row r="943" ht="14.25" customHeight="1" spans="2:4">
      <c r="B943" s="136">
        <v>44928</v>
      </c>
      <c r="C943" s="128">
        <v>18197.45</v>
      </c>
      <c r="D943" s="129">
        <f t="shared" si="16"/>
        <v>0.00192884167836693</v>
      </c>
    </row>
    <row r="944" ht="14.25" customHeight="1" spans="2:4">
      <c r="B944" s="136">
        <v>44925</v>
      </c>
      <c r="C944" s="128">
        <v>18105.3</v>
      </c>
      <c r="D944" s="129">
        <f t="shared" si="16"/>
        <v>0.00508966987567194</v>
      </c>
    </row>
    <row r="945" ht="14.25" customHeight="1" spans="2:4">
      <c r="B945" s="136">
        <v>44924</v>
      </c>
      <c r="C945" s="128">
        <v>18191</v>
      </c>
      <c r="D945" s="129">
        <f t="shared" si="16"/>
        <v>-0.00471112088395365</v>
      </c>
    </row>
    <row r="946" ht="14.25" customHeight="1" spans="2:4">
      <c r="B946" s="136">
        <v>44923</v>
      </c>
      <c r="C946" s="128">
        <v>18122.5</v>
      </c>
      <c r="D946" s="129">
        <f t="shared" si="16"/>
        <v>0.00377983170092433</v>
      </c>
    </row>
    <row r="947" ht="14.25" customHeight="1" spans="2:4">
      <c r="B947" s="136">
        <v>44922</v>
      </c>
      <c r="C947" s="128">
        <v>18132.3</v>
      </c>
      <c r="D947" s="129">
        <f t="shared" si="16"/>
        <v>-0.000540471975425061</v>
      </c>
    </row>
    <row r="948" ht="14.25" customHeight="1" spans="2:4">
      <c r="B948" s="136">
        <v>44921</v>
      </c>
      <c r="C948" s="128">
        <v>18014.6</v>
      </c>
      <c r="D948" s="129">
        <f t="shared" si="16"/>
        <v>0.0065335894219134</v>
      </c>
    </row>
    <row r="949" ht="14.25" customHeight="1" spans="2:4">
      <c r="B949" s="136">
        <v>44918</v>
      </c>
      <c r="C949" s="128">
        <v>17806.8</v>
      </c>
      <c r="D949" s="129">
        <f t="shared" si="16"/>
        <v>0.0116696992160299</v>
      </c>
    </row>
    <row r="950" ht="14.25" customHeight="1" spans="2:4">
      <c r="B950" s="136">
        <v>44917</v>
      </c>
      <c r="C950" s="128">
        <v>18127.35</v>
      </c>
      <c r="D950" s="129">
        <f t="shared" si="16"/>
        <v>-0.0176832245198553</v>
      </c>
    </row>
    <row r="951" ht="14.25" customHeight="1" spans="2:4">
      <c r="B951" s="136">
        <v>44916</v>
      </c>
      <c r="C951" s="128">
        <v>18199.1</v>
      </c>
      <c r="D951" s="129">
        <f t="shared" si="16"/>
        <v>-0.00394250265122997</v>
      </c>
    </row>
    <row r="952" ht="14.25" customHeight="1" spans="2:4">
      <c r="B952" s="136">
        <v>44915</v>
      </c>
      <c r="C952" s="128">
        <v>18385.3</v>
      </c>
      <c r="D952" s="129">
        <f t="shared" si="16"/>
        <v>-0.0101276563341366</v>
      </c>
    </row>
    <row r="953" ht="14.25" customHeight="1" spans="2:4">
      <c r="B953" s="136">
        <v>44914</v>
      </c>
      <c r="C953" s="128">
        <v>18420.45</v>
      </c>
      <c r="D953" s="129">
        <f t="shared" si="16"/>
        <v>-0.00190820528271574</v>
      </c>
    </row>
    <row r="954" ht="14.25" customHeight="1" spans="2:4">
      <c r="B954" s="136">
        <v>44911</v>
      </c>
      <c r="C954" s="128">
        <v>18269</v>
      </c>
      <c r="D954" s="129">
        <f t="shared" si="16"/>
        <v>0.00828999945262465</v>
      </c>
    </row>
    <row r="955" ht="14.25" customHeight="1" spans="2:4">
      <c r="B955" s="136">
        <v>44910</v>
      </c>
      <c r="C955" s="128">
        <v>18414.9</v>
      </c>
      <c r="D955" s="129">
        <f t="shared" si="16"/>
        <v>-0.00792293197356497</v>
      </c>
    </row>
    <row r="956" ht="14.25" customHeight="1" spans="2:4">
      <c r="B956" s="136">
        <v>44909</v>
      </c>
      <c r="C956" s="128">
        <v>18660.3</v>
      </c>
      <c r="D956" s="129">
        <f t="shared" si="16"/>
        <v>-0.0131509139724441</v>
      </c>
    </row>
    <row r="957" ht="14.25" customHeight="1" spans="2:4">
      <c r="B957" s="136">
        <v>44908</v>
      </c>
      <c r="C957" s="128">
        <v>18608</v>
      </c>
      <c r="D957" s="129">
        <f t="shared" si="16"/>
        <v>0.00281061908856395</v>
      </c>
    </row>
    <row r="958" ht="14.25" customHeight="1" spans="2:4">
      <c r="B958" s="136">
        <v>44907</v>
      </c>
      <c r="C958" s="128">
        <v>18497.15</v>
      </c>
      <c r="D958" s="129">
        <f t="shared" si="16"/>
        <v>0.00599281510935468</v>
      </c>
    </row>
    <row r="959" ht="14.25" customHeight="1" spans="2:4">
      <c r="B959" s="136">
        <v>44904</v>
      </c>
      <c r="C959" s="128">
        <v>18496.6</v>
      </c>
      <c r="D959" s="129">
        <f t="shared" si="16"/>
        <v>2.97351945763857e-5</v>
      </c>
    </row>
    <row r="960" ht="14.25" customHeight="1" spans="2:4">
      <c r="B960" s="136">
        <v>44903</v>
      </c>
      <c r="C960" s="128">
        <v>18609.35</v>
      </c>
      <c r="D960" s="129">
        <f t="shared" si="16"/>
        <v>-0.00605878227880075</v>
      </c>
    </row>
    <row r="961" ht="14.25" customHeight="1" spans="2:4">
      <c r="B961" s="136">
        <v>44902</v>
      </c>
      <c r="C961" s="128">
        <v>18560.5</v>
      </c>
      <c r="D961" s="129">
        <f t="shared" si="16"/>
        <v>0.00263193340696644</v>
      </c>
    </row>
    <row r="962" ht="14.25" customHeight="1" spans="2:4">
      <c r="B962" s="136">
        <v>44901</v>
      </c>
      <c r="C962" s="128">
        <v>18642.75</v>
      </c>
      <c r="D962" s="129">
        <f t="shared" ref="D962:D1025" si="17">C961/C962-1</f>
        <v>-0.00441190275039893</v>
      </c>
    </row>
    <row r="963" ht="14.25" customHeight="1" spans="2:4">
      <c r="B963" s="136">
        <v>44900</v>
      </c>
      <c r="C963" s="128">
        <v>18701.05</v>
      </c>
      <c r="D963" s="129">
        <f t="shared" si="17"/>
        <v>-0.00311747201360346</v>
      </c>
    </row>
    <row r="964" ht="14.25" customHeight="1" spans="2:4">
      <c r="B964" s="136">
        <v>44897</v>
      </c>
      <c r="C964" s="128">
        <v>18696.1</v>
      </c>
      <c r="D964" s="129">
        <f t="shared" si="17"/>
        <v>0.000264761099908473</v>
      </c>
    </row>
    <row r="965" ht="14.25" customHeight="1" spans="2:4">
      <c r="B965" s="136">
        <v>44896</v>
      </c>
      <c r="C965" s="128">
        <v>18812.5</v>
      </c>
      <c r="D965" s="129">
        <f t="shared" si="17"/>
        <v>-0.00618737541528247</v>
      </c>
    </row>
    <row r="966" ht="14.25" customHeight="1" spans="2:4">
      <c r="B966" s="136">
        <v>44895</v>
      </c>
      <c r="C966" s="128">
        <v>18758.35</v>
      </c>
      <c r="D966" s="129">
        <f t="shared" si="17"/>
        <v>0.00288671444983168</v>
      </c>
    </row>
    <row r="967" ht="14.25" customHeight="1" spans="2:4">
      <c r="B967" s="136">
        <v>44894</v>
      </c>
      <c r="C967" s="128">
        <v>18618.05</v>
      </c>
      <c r="D967" s="129">
        <f t="shared" si="17"/>
        <v>0.00753569788457975</v>
      </c>
    </row>
    <row r="968" ht="14.25" customHeight="1" spans="2:4">
      <c r="B968" s="136">
        <v>44893</v>
      </c>
      <c r="C968" s="128">
        <v>18562.75</v>
      </c>
      <c r="D968" s="129">
        <f t="shared" si="17"/>
        <v>0.00297908445677497</v>
      </c>
    </row>
    <row r="969" ht="14.25" customHeight="1" spans="2:4">
      <c r="B969" s="136">
        <v>44890</v>
      </c>
      <c r="C969" s="128">
        <v>18512.75</v>
      </c>
      <c r="D969" s="129">
        <f t="shared" si="17"/>
        <v>0.0027008413120686</v>
      </c>
    </row>
    <row r="970" ht="14.25" customHeight="1" spans="2:4">
      <c r="B970" s="136">
        <v>44889</v>
      </c>
      <c r="C970" s="128">
        <v>18484.1</v>
      </c>
      <c r="D970" s="129">
        <f t="shared" si="17"/>
        <v>0.00154998079430446</v>
      </c>
    </row>
    <row r="971" ht="14.25" customHeight="1" spans="2:4">
      <c r="B971" s="136">
        <v>44888</v>
      </c>
      <c r="C971" s="128">
        <v>18267.25</v>
      </c>
      <c r="D971" s="129">
        <f t="shared" si="17"/>
        <v>0.0118709712737275</v>
      </c>
    </row>
    <row r="972" ht="14.25" customHeight="1" spans="2:4">
      <c r="B972" s="136">
        <v>44887</v>
      </c>
      <c r="C972" s="128">
        <v>18244.2</v>
      </c>
      <c r="D972" s="129">
        <f t="shared" si="17"/>
        <v>0.00126341522237206</v>
      </c>
    </row>
    <row r="973" ht="14.25" customHeight="1" spans="2:4">
      <c r="B973" s="136">
        <v>44886</v>
      </c>
      <c r="C973" s="128">
        <v>18159.95</v>
      </c>
      <c r="D973" s="129">
        <f t="shared" si="17"/>
        <v>0.00463932995410232</v>
      </c>
    </row>
    <row r="974" ht="14.25" customHeight="1" spans="2:4">
      <c r="B974" s="136">
        <v>44883</v>
      </c>
      <c r="C974" s="128">
        <v>18307.65</v>
      </c>
      <c r="D974" s="129">
        <f t="shared" si="17"/>
        <v>-0.00806766570258888</v>
      </c>
    </row>
    <row r="975" ht="14.25" customHeight="1" spans="2:4">
      <c r="B975" s="136">
        <v>44882</v>
      </c>
      <c r="C975" s="128">
        <v>18343.9</v>
      </c>
      <c r="D975" s="129">
        <f t="shared" si="17"/>
        <v>-0.00197613375563543</v>
      </c>
    </row>
    <row r="976" ht="14.25" customHeight="1" spans="2:4">
      <c r="B976" s="136">
        <v>44881</v>
      </c>
      <c r="C976" s="128">
        <v>18409.65</v>
      </c>
      <c r="D976" s="129">
        <f t="shared" si="17"/>
        <v>-0.00357149647060107</v>
      </c>
    </row>
    <row r="977" ht="14.25" customHeight="1" spans="2:4">
      <c r="B977" s="136">
        <v>44880</v>
      </c>
      <c r="C977" s="128">
        <v>18403.4</v>
      </c>
      <c r="D977" s="129">
        <f t="shared" si="17"/>
        <v>0.000339611158807651</v>
      </c>
    </row>
    <row r="978" ht="14.25" customHeight="1" spans="2:4">
      <c r="B978" s="136">
        <v>44879</v>
      </c>
      <c r="C978" s="128">
        <v>18329.15</v>
      </c>
      <c r="D978" s="129">
        <f t="shared" si="17"/>
        <v>0.00405092434728282</v>
      </c>
    </row>
    <row r="979" ht="14.25" customHeight="1" spans="2:4">
      <c r="B979" s="136">
        <v>44876</v>
      </c>
      <c r="C979" s="128">
        <v>18349.7</v>
      </c>
      <c r="D979" s="129">
        <f t="shared" si="17"/>
        <v>-0.00111990931731853</v>
      </c>
    </row>
    <row r="980" ht="14.25" customHeight="1" spans="2:4">
      <c r="B980" s="136">
        <v>44875</v>
      </c>
      <c r="C980" s="128">
        <v>18028.2</v>
      </c>
      <c r="D980" s="129">
        <f t="shared" si="17"/>
        <v>0.0178331724742349</v>
      </c>
    </row>
    <row r="981" ht="14.25" customHeight="1" spans="2:4">
      <c r="B981" s="136">
        <v>44874</v>
      </c>
      <c r="C981" s="128">
        <v>18157</v>
      </c>
      <c r="D981" s="129">
        <f t="shared" si="17"/>
        <v>-0.00709368287712719</v>
      </c>
    </row>
    <row r="982" ht="14.25" customHeight="1" spans="2:4">
      <c r="B982" s="136">
        <v>44872</v>
      </c>
      <c r="C982" s="128">
        <v>18202.8</v>
      </c>
      <c r="D982" s="129">
        <f t="shared" si="17"/>
        <v>-0.00251609642472583</v>
      </c>
    </row>
    <row r="983" ht="14.25" customHeight="1" spans="2:4">
      <c r="B983" s="136">
        <v>44869</v>
      </c>
      <c r="C983" s="128">
        <v>18117.15</v>
      </c>
      <c r="D983" s="129">
        <f t="shared" si="17"/>
        <v>0.00472756476598124</v>
      </c>
    </row>
    <row r="984" ht="14.25" customHeight="1" spans="2:4">
      <c r="B984" s="136">
        <v>44868</v>
      </c>
      <c r="C984" s="128">
        <v>18052.7</v>
      </c>
      <c r="D984" s="129">
        <f t="shared" si="17"/>
        <v>0.00357010308707295</v>
      </c>
    </row>
    <row r="985" ht="14.25" customHeight="1" spans="2:4">
      <c r="B985" s="136">
        <v>44867</v>
      </c>
      <c r="C985" s="128">
        <v>18082.85</v>
      </c>
      <c r="D985" s="129">
        <f t="shared" si="17"/>
        <v>-0.00166732567045558</v>
      </c>
    </row>
    <row r="986" ht="14.25" customHeight="1" spans="2:4">
      <c r="B986" s="136">
        <v>44866</v>
      </c>
      <c r="C986" s="128">
        <v>18145.4</v>
      </c>
      <c r="D986" s="129">
        <f t="shared" si="17"/>
        <v>-0.00344715465076562</v>
      </c>
    </row>
    <row r="987" ht="14.25" customHeight="1" spans="2:4">
      <c r="B987" s="136">
        <v>44865</v>
      </c>
      <c r="C987" s="128">
        <v>18012.2</v>
      </c>
      <c r="D987" s="129">
        <f t="shared" si="17"/>
        <v>0.007394987841574</v>
      </c>
    </row>
    <row r="988" ht="14.25" customHeight="1" spans="2:4">
      <c r="B988" s="136">
        <v>44862</v>
      </c>
      <c r="C988" s="128">
        <v>17786.8</v>
      </c>
      <c r="D988" s="129">
        <f t="shared" si="17"/>
        <v>0.0126723187982101</v>
      </c>
    </row>
    <row r="989" ht="14.25" customHeight="1" spans="2:4">
      <c r="B989" s="136">
        <v>44861</v>
      </c>
      <c r="C989" s="128">
        <v>17736.95</v>
      </c>
      <c r="D989" s="129">
        <f t="shared" si="17"/>
        <v>0.00281051702801216</v>
      </c>
    </row>
    <row r="990" ht="14.25" customHeight="1" spans="2:4">
      <c r="B990" s="136">
        <v>44859</v>
      </c>
      <c r="C990" s="128">
        <v>17656.35</v>
      </c>
      <c r="D990" s="129">
        <f t="shared" si="17"/>
        <v>0.00456492989774238</v>
      </c>
    </row>
    <row r="991" ht="14.25" customHeight="1" spans="2:4">
      <c r="B991" s="136">
        <v>44858</v>
      </c>
      <c r="C991" s="128">
        <v>17730.75</v>
      </c>
      <c r="D991" s="129">
        <f t="shared" si="17"/>
        <v>-0.0041960999957702</v>
      </c>
    </row>
    <row r="992" ht="14.25" customHeight="1" spans="2:4">
      <c r="B992" s="136">
        <v>44855</v>
      </c>
      <c r="C992" s="128">
        <v>17576.3</v>
      </c>
      <c r="D992" s="129">
        <f t="shared" si="17"/>
        <v>0.00878740121641086</v>
      </c>
    </row>
    <row r="993" ht="14.25" customHeight="1" spans="2:4">
      <c r="B993" s="136">
        <v>44854</v>
      </c>
      <c r="C993" s="128">
        <v>17563.95</v>
      </c>
      <c r="D993" s="129">
        <f t="shared" si="17"/>
        <v>0.000703144793739341</v>
      </c>
    </row>
    <row r="994" ht="14.25" customHeight="1" spans="2:4">
      <c r="B994" s="136">
        <v>44853</v>
      </c>
      <c r="C994" s="128">
        <v>17512.25</v>
      </c>
      <c r="D994" s="129">
        <f t="shared" si="17"/>
        <v>0.00295221916087307</v>
      </c>
    </row>
    <row r="995" ht="14.25" customHeight="1" spans="2:4">
      <c r="B995" s="136">
        <v>44852</v>
      </c>
      <c r="C995" s="128">
        <v>17486.95</v>
      </c>
      <c r="D995" s="129">
        <f t="shared" si="17"/>
        <v>0.00144679318005703</v>
      </c>
    </row>
    <row r="996" ht="14.25" customHeight="1" spans="2:4">
      <c r="B996" s="136">
        <v>44851</v>
      </c>
      <c r="C996" s="128">
        <v>17311.8</v>
      </c>
      <c r="D996" s="129">
        <f t="shared" si="17"/>
        <v>0.0101173765870679</v>
      </c>
    </row>
    <row r="997" ht="14.25" customHeight="1" spans="2:4">
      <c r="B997" s="136">
        <v>44848</v>
      </c>
      <c r="C997" s="128">
        <v>17185.7</v>
      </c>
      <c r="D997" s="129">
        <f t="shared" si="17"/>
        <v>0.00733749570864139</v>
      </c>
    </row>
    <row r="998" ht="14.25" customHeight="1" spans="2:4">
      <c r="B998" s="136">
        <v>44847</v>
      </c>
      <c r="C998" s="128">
        <v>17014.35</v>
      </c>
      <c r="D998" s="129">
        <f t="shared" si="17"/>
        <v>0.0100709107312358</v>
      </c>
    </row>
    <row r="999" ht="14.25" customHeight="1" spans="2:4">
      <c r="B999" s="136">
        <v>44846</v>
      </c>
      <c r="C999" s="128">
        <v>17123.6</v>
      </c>
      <c r="D999" s="129">
        <f t="shared" si="17"/>
        <v>-0.0063800836272746</v>
      </c>
    </row>
    <row r="1000" ht="14.25" customHeight="1" spans="2:4">
      <c r="B1000" s="136">
        <v>44845</v>
      </c>
      <c r="C1000" s="128">
        <v>16983.55</v>
      </c>
      <c r="D1000" s="129">
        <f t="shared" si="17"/>
        <v>0.00824621471953746</v>
      </c>
    </row>
    <row r="1001" ht="14.25" customHeight="1" spans="2:4">
      <c r="B1001" s="136">
        <v>44844</v>
      </c>
      <c r="C1001" s="128">
        <v>17241</v>
      </c>
      <c r="D1001" s="129">
        <f t="shared" si="17"/>
        <v>-0.0149324285134274</v>
      </c>
    </row>
    <row r="1002" ht="14.25" customHeight="1" spans="2:4">
      <c r="B1002" s="136">
        <v>44841</v>
      </c>
      <c r="C1002" s="128">
        <v>17314.65</v>
      </c>
      <c r="D1002" s="129">
        <f t="shared" si="17"/>
        <v>-0.00425362337673596</v>
      </c>
    </row>
    <row r="1003" ht="14.25" customHeight="1" spans="2:4">
      <c r="B1003" s="136">
        <v>44840</v>
      </c>
      <c r="C1003" s="128">
        <v>17331.8</v>
      </c>
      <c r="D1003" s="129">
        <f t="shared" si="17"/>
        <v>-0.000989510610553856</v>
      </c>
    </row>
    <row r="1004" ht="14.25" customHeight="1" spans="2:4">
      <c r="B1004" s="136">
        <v>44838</v>
      </c>
      <c r="C1004" s="128">
        <v>17274.3</v>
      </c>
      <c r="D1004" s="129">
        <f t="shared" si="17"/>
        <v>0.00332864428659918</v>
      </c>
    </row>
    <row r="1005" ht="14.25" customHeight="1" spans="2:4">
      <c r="B1005" s="136">
        <v>44837</v>
      </c>
      <c r="C1005" s="128">
        <v>16887.35</v>
      </c>
      <c r="D1005" s="129">
        <f t="shared" si="17"/>
        <v>0.0229136010090394</v>
      </c>
    </row>
    <row r="1006" ht="14.25" customHeight="1" spans="2:4">
      <c r="B1006" s="136">
        <v>44834</v>
      </c>
      <c r="C1006" s="128">
        <v>17094.35</v>
      </c>
      <c r="D1006" s="129">
        <f t="shared" si="17"/>
        <v>-0.0121092641720802</v>
      </c>
    </row>
    <row r="1007" ht="14.25" customHeight="1" spans="2:4">
      <c r="B1007" s="136">
        <v>44833</v>
      </c>
      <c r="C1007" s="128">
        <v>16818.1</v>
      </c>
      <c r="D1007" s="129">
        <f t="shared" si="17"/>
        <v>0.0164257555847569</v>
      </c>
    </row>
    <row r="1008" ht="14.25" customHeight="1" spans="2:4">
      <c r="B1008" s="136">
        <v>44832</v>
      </c>
      <c r="C1008" s="128">
        <v>16858.6</v>
      </c>
      <c r="D1008" s="129">
        <f t="shared" si="17"/>
        <v>-0.00240233471343998</v>
      </c>
    </row>
    <row r="1009" ht="14.25" customHeight="1" spans="2:4">
      <c r="B1009" s="136">
        <v>44831</v>
      </c>
      <c r="C1009" s="128">
        <v>17007.4</v>
      </c>
      <c r="D1009" s="129">
        <f t="shared" si="17"/>
        <v>-0.00874913273045863</v>
      </c>
    </row>
    <row r="1010" ht="14.25" customHeight="1" spans="2:4">
      <c r="B1010" s="136">
        <v>44830</v>
      </c>
      <c r="C1010" s="128">
        <v>17016.3</v>
      </c>
      <c r="D1010" s="129">
        <f t="shared" si="17"/>
        <v>-0.000523027920288022</v>
      </c>
    </row>
    <row r="1011" ht="14.25" customHeight="1" spans="2:4">
      <c r="B1011" s="136">
        <v>44827</v>
      </c>
      <c r="C1011" s="128">
        <v>17327.35</v>
      </c>
      <c r="D1011" s="129">
        <f t="shared" si="17"/>
        <v>-0.0179513889890837</v>
      </c>
    </row>
    <row r="1012" ht="14.25" customHeight="1" spans="2:4">
      <c r="B1012" s="136">
        <v>44826</v>
      </c>
      <c r="C1012" s="128">
        <v>17629.8</v>
      </c>
      <c r="D1012" s="129">
        <f t="shared" si="17"/>
        <v>-0.0171556115214013</v>
      </c>
    </row>
    <row r="1013" ht="14.25" customHeight="1" spans="2:4">
      <c r="B1013" s="136">
        <v>44825</v>
      </c>
      <c r="C1013" s="128">
        <v>17718.35</v>
      </c>
      <c r="D1013" s="129">
        <f t="shared" si="17"/>
        <v>-0.00499764368578337</v>
      </c>
    </row>
    <row r="1014" ht="14.25" customHeight="1" spans="2:4">
      <c r="B1014" s="136">
        <v>44824</v>
      </c>
      <c r="C1014" s="128">
        <v>17816.25</v>
      </c>
      <c r="D1014" s="129">
        <f t="shared" si="17"/>
        <v>-0.00549498351224309</v>
      </c>
    </row>
    <row r="1015" ht="14.25" customHeight="1" spans="2:4">
      <c r="B1015" s="136">
        <v>44823</v>
      </c>
      <c r="C1015" s="128">
        <v>17622.25</v>
      </c>
      <c r="D1015" s="129">
        <f t="shared" si="17"/>
        <v>0.0110088098852303</v>
      </c>
    </row>
    <row r="1016" ht="14.25" customHeight="1" spans="2:4">
      <c r="B1016" s="136">
        <v>44820</v>
      </c>
      <c r="C1016" s="128">
        <v>17530.85</v>
      </c>
      <c r="D1016" s="129">
        <f t="shared" si="17"/>
        <v>0.00521366619416641</v>
      </c>
    </row>
    <row r="1017" ht="14.25" customHeight="1" spans="2:4">
      <c r="B1017" s="136">
        <v>44819</v>
      </c>
      <c r="C1017" s="128">
        <v>17877.4</v>
      </c>
      <c r="D1017" s="129">
        <f t="shared" si="17"/>
        <v>-0.0193848098716817</v>
      </c>
    </row>
    <row r="1018" ht="14.25" customHeight="1" spans="2:4">
      <c r="B1018" s="136">
        <v>44818</v>
      </c>
      <c r="C1018" s="128">
        <v>18003.75</v>
      </c>
      <c r="D1018" s="129">
        <f t="shared" si="17"/>
        <v>-0.00701798236478501</v>
      </c>
    </row>
    <row r="1019" ht="14.25" customHeight="1" spans="2:4">
      <c r="B1019" s="136">
        <v>44817</v>
      </c>
      <c r="C1019" s="128">
        <v>18070.05</v>
      </c>
      <c r="D1019" s="129">
        <f t="shared" si="17"/>
        <v>-0.00366905459586442</v>
      </c>
    </row>
    <row r="1020" ht="14.25" customHeight="1" spans="2:4">
      <c r="B1020" s="136">
        <v>44816</v>
      </c>
      <c r="C1020" s="128">
        <v>17936.35</v>
      </c>
      <c r="D1020" s="129">
        <f t="shared" si="17"/>
        <v>0.00745413643244031</v>
      </c>
    </row>
    <row r="1021" ht="14.25" customHeight="1" spans="2:4">
      <c r="B1021" s="136">
        <v>44813</v>
      </c>
      <c r="C1021" s="128">
        <v>17833.35</v>
      </c>
      <c r="D1021" s="129">
        <f t="shared" si="17"/>
        <v>0.00577569553673318</v>
      </c>
    </row>
    <row r="1022" ht="14.25" customHeight="1" spans="2:4">
      <c r="B1022" s="136">
        <v>44812</v>
      </c>
      <c r="C1022" s="128">
        <v>17798.75</v>
      </c>
      <c r="D1022" s="129">
        <f t="shared" si="17"/>
        <v>0.00194395673853487</v>
      </c>
    </row>
    <row r="1023" ht="14.25" customHeight="1" spans="2:4">
      <c r="B1023" s="136">
        <v>44811</v>
      </c>
      <c r="C1023" s="128">
        <v>17624.4</v>
      </c>
      <c r="D1023" s="129">
        <f t="shared" si="17"/>
        <v>0.00989253534872092</v>
      </c>
    </row>
    <row r="1024" ht="14.25" customHeight="1" spans="2:4">
      <c r="B1024" s="136">
        <v>44810</v>
      </c>
      <c r="C1024" s="128">
        <v>17655.6</v>
      </c>
      <c r="D1024" s="129">
        <f t="shared" si="17"/>
        <v>-0.00176714470196404</v>
      </c>
    </row>
    <row r="1025" ht="14.25" customHeight="1" spans="2:4">
      <c r="B1025" s="136">
        <v>44809</v>
      </c>
      <c r="C1025" s="128">
        <v>17665.8</v>
      </c>
      <c r="D1025" s="129">
        <f t="shared" si="17"/>
        <v>-0.000577386815202252</v>
      </c>
    </row>
    <row r="1026" ht="14.25" customHeight="1" spans="2:4">
      <c r="B1026" s="136">
        <v>44806</v>
      </c>
      <c r="C1026" s="128">
        <v>17539.45</v>
      </c>
      <c r="D1026" s="129">
        <f t="shared" ref="D1026:D1089" si="18">C1025/C1026-1</f>
        <v>0.00720376066524309</v>
      </c>
    </row>
    <row r="1027" ht="14.25" customHeight="1" spans="2:4">
      <c r="B1027" s="136">
        <v>44805</v>
      </c>
      <c r="C1027" s="128">
        <v>17542.8</v>
      </c>
      <c r="D1027" s="129">
        <f t="shared" si="18"/>
        <v>-0.000190961534076606</v>
      </c>
    </row>
    <row r="1028" ht="14.25" customHeight="1" spans="2:4">
      <c r="B1028" s="136">
        <v>44803</v>
      </c>
      <c r="C1028" s="128">
        <v>17759.3</v>
      </c>
      <c r="D1028" s="129">
        <f t="shared" si="18"/>
        <v>-0.0121907958083933</v>
      </c>
    </row>
    <row r="1029" ht="14.25" customHeight="1" spans="2:4">
      <c r="B1029" s="136">
        <v>44802</v>
      </c>
      <c r="C1029" s="128">
        <v>17312.9</v>
      </c>
      <c r="D1029" s="129">
        <f t="shared" si="18"/>
        <v>0.0257842418081313</v>
      </c>
    </row>
    <row r="1030" ht="14.25" customHeight="1" spans="2:4">
      <c r="B1030" s="136">
        <v>44799</v>
      </c>
      <c r="C1030" s="128">
        <v>17558.9</v>
      </c>
      <c r="D1030" s="129">
        <f t="shared" si="18"/>
        <v>-0.0140099892362278</v>
      </c>
    </row>
    <row r="1031" ht="14.25" customHeight="1" spans="2:4">
      <c r="B1031" s="136">
        <v>44798</v>
      </c>
      <c r="C1031" s="128">
        <v>17522.45</v>
      </c>
      <c r="D1031" s="129">
        <f t="shared" si="18"/>
        <v>0.00208018855810699</v>
      </c>
    </row>
    <row r="1032" ht="14.25" customHeight="1" spans="2:4">
      <c r="B1032" s="136">
        <v>44797</v>
      </c>
      <c r="C1032" s="128">
        <v>17604.95</v>
      </c>
      <c r="D1032" s="129">
        <f t="shared" si="18"/>
        <v>-0.00468618201130933</v>
      </c>
    </row>
    <row r="1033" ht="14.25" customHeight="1" spans="2:4">
      <c r="B1033" s="136">
        <v>44796</v>
      </c>
      <c r="C1033" s="128">
        <v>17577.5</v>
      </c>
      <c r="D1033" s="129">
        <f t="shared" si="18"/>
        <v>0.00156165552552978</v>
      </c>
    </row>
    <row r="1034" ht="14.25" customHeight="1" spans="2:4">
      <c r="B1034" s="136">
        <v>44795</v>
      </c>
      <c r="C1034" s="128">
        <v>17490.7</v>
      </c>
      <c r="D1034" s="129">
        <f t="shared" si="18"/>
        <v>0.004962637287244</v>
      </c>
    </row>
    <row r="1035" ht="14.25" customHeight="1" spans="2:4">
      <c r="B1035" s="136">
        <v>44792</v>
      </c>
      <c r="C1035" s="128">
        <v>17758.45</v>
      </c>
      <c r="D1035" s="129">
        <f t="shared" si="18"/>
        <v>-0.0150773293840397</v>
      </c>
    </row>
    <row r="1036" ht="14.25" customHeight="1" spans="2:4">
      <c r="B1036" s="136">
        <v>44791</v>
      </c>
      <c r="C1036" s="128">
        <v>17956.5</v>
      </c>
      <c r="D1036" s="129">
        <f t="shared" si="18"/>
        <v>-0.0110294322390221</v>
      </c>
    </row>
    <row r="1037" ht="14.25" customHeight="1" spans="2:4">
      <c r="B1037" s="136">
        <v>44790</v>
      </c>
      <c r="C1037" s="128">
        <v>17944.25</v>
      </c>
      <c r="D1037" s="129">
        <f t="shared" si="18"/>
        <v>0.000682669936052038</v>
      </c>
    </row>
    <row r="1038" ht="14.25" customHeight="1" spans="2:4">
      <c r="B1038" s="136">
        <v>44789</v>
      </c>
      <c r="C1038" s="128">
        <v>17825.25</v>
      </c>
      <c r="D1038" s="129">
        <f t="shared" si="18"/>
        <v>0.00667592319883314</v>
      </c>
    </row>
    <row r="1039" ht="14.25" customHeight="1" spans="2:4">
      <c r="B1039" s="136">
        <v>44785</v>
      </c>
      <c r="C1039" s="128">
        <v>17698.15</v>
      </c>
      <c r="D1039" s="129">
        <f t="shared" si="18"/>
        <v>0.00718154157355411</v>
      </c>
    </row>
    <row r="1040" ht="14.25" customHeight="1" spans="2:4">
      <c r="B1040" s="136">
        <v>44784</v>
      </c>
      <c r="C1040" s="128">
        <v>17659</v>
      </c>
      <c r="D1040" s="129">
        <f t="shared" si="18"/>
        <v>0.00221699983011514</v>
      </c>
    </row>
    <row r="1041" ht="14.25" customHeight="1" spans="2:4">
      <c r="B1041" s="136">
        <v>44783</v>
      </c>
      <c r="C1041" s="128">
        <v>17534.75</v>
      </c>
      <c r="D1041" s="129">
        <f t="shared" si="18"/>
        <v>0.00708592936882479</v>
      </c>
    </row>
    <row r="1042" ht="14.25" customHeight="1" spans="2:4">
      <c r="B1042" s="136">
        <v>44781</v>
      </c>
      <c r="C1042" s="128">
        <v>17525.1</v>
      </c>
      <c r="D1042" s="129">
        <f t="shared" si="18"/>
        <v>0.000550638798066938</v>
      </c>
    </row>
    <row r="1043" ht="14.25" customHeight="1" spans="2:4">
      <c r="B1043" s="136">
        <v>44778</v>
      </c>
      <c r="C1043" s="128">
        <v>17397.5</v>
      </c>
      <c r="D1043" s="129">
        <f t="shared" si="18"/>
        <v>0.00733438712458678</v>
      </c>
    </row>
    <row r="1044" ht="14.25" customHeight="1" spans="2:4">
      <c r="B1044" s="136">
        <v>44777</v>
      </c>
      <c r="C1044" s="128">
        <v>17382</v>
      </c>
      <c r="D1044" s="129">
        <f t="shared" si="18"/>
        <v>0.00089172707398455</v>
      </c>
    </row>
    <row r="1045" ht="14.25" customHeight="1" spans="2:4">
      <c r="B1045" s="136">
        <v>44776</v>
      </c>
      <c r="C1045" s="128">
        <v>17388.15</v>
      </c>
      <c r="D1045" s="129">
        <f t="shared" si="18"/>
        <v>-0.000353689150369707</v>
      </c>
    </row>
    <row r="1046" ht="14.25" customHeight="1" spans="2:4">
      <c r="B1046" s="136">
        <v>44775</v>
      </c>
      <c r="C1046" s="128">
        <v>17345.45</v>
      </c>
      <c r="D1046" s="129">
        <f t="shared" si="18"/>
        <v>0.00246174068703908</v>
      </c>
    </row>
    <row r="1047" ht="14.25" customHeight="1" spans="2:4">
      <c r="B1047" s="136">
        <v>44774</v>
      </c>
      <c r="C1047" s="128">
        <v>17340.05</v>
      </c>
      <c r="D1047" s="129">
        <f t="shared" si="18"/>
        <v>0.00031141778714594</v>
      </c>
    </row>
    <row r="1048" ht="14.25" customHeight="1" spans="2:4">
      <c r="B1048" s="136">
        <v>44771</v>
      </c>
      <c r="C1048" s="128">
        <v>17158.25</v>
      </c>
      <c r="D1048" s="129">
        <f t="shared" si="18"/>
        <v>0.0105954861364066</v>
      </c>
    </row>
    <row r="1049" ht="14.25" customHeight="1" spans="2:4">
      <c r="B1049" s="136">
        <v>44770</v>
      </c>
      <c r="C1049" s="128">
        <v>16929.6</v>
      </c>
      <c r="D1049" s="129">
        <f t="shared" si="18"/>
        <v>0.0135059304413572</v>
      </c>
    </row>
    <row r="1050" ht="14.25" customHeight="1" spans="2:4">
      <c r="B1050" s="136">
        <v>44769</v>
      </c>
      <c r="C1050" s="128">
        <v>16641.8</v>
      </c>
      <c r="D1050" s="129">
        <f t="shared" si="18"/>
        <v>0.0172938023531108</v>
      </c>
    </row>
    <row r="1051" ht="14.25" customHeight="1" spans="2:4">
      <c r="B1051" s="136">
        <v>44768</v>
      </c>
      <c r="C1051" s="128">
        <v>16483.85</v>
      </c>
      <c r="D1051" s="129">
        <f t="shared" si="18"/>
        <v>0.0095821061220529</v>
      </c>
    </row>
    <row r="1052" ht="14.25" customHeight="1" spans="2:4">
      <c r="B1052" s="136">
        <v>44767</v>
      </c>
      <c r="C1052" s="128">
        <v>16631</v>
      </c>
      <c r="D1052" s="129">
        <f t="shared" si="18"/>
        <v>-0.00884793458000133</v>
      </c>
    </row>
    <row r="1053" ht="14.25" customHeight="1" spans="2:4">
      <c r="B1053" s="136">
        <v>44764</v>
      </c>
      <c r="C1053" s="128">
        <v>16719.45</v>
      </c>
      <c r="D1053" s="129">
        <f t="shared" si="18"/>
        <v>-0.00529024579157811</v>
      </c>
    </row>
    <row r="1054" ht="14.25" customHeight="1" spans="2:4">
      <c r="B1054" s="136">
        <v>44763</v>
      </c>
      <c r="C1054" s="128">
        <v>16605.25</v>
      </c>
      <c r="D1054" s="129">
        <f t="shared" si="18"/>
        <v>0.00687734300898812</v>
      </c>
    </row>
    <row r="1055" ht="14.25" customHeight="1" spans="2:4">
      <c r="B1055" s="136">
        <v>44762</v>
      </c>
      <c r="C1055" s="128">
        <v>16520.85</v>
      </c>
      <c r="D1055" s="129">
        <f t="shared" si="18"/>
        <v>0.00510869598113906</v>
      </c>
    </row>
    <row r="1056" ht="14.25" customHeight="1" spans="2:4">
      <c r="B1056" s="136">
        <v>44761</v>
      </c>
      <c r="C1056" s="128">
        <v>16340.55</v>
      </c>
      <c r="D1056" s="129">
        <f t="shared" si="18"/>
        <v>0.0110339003277122</v>
      </c>
    </row>
    <row r="1057" ht="14.25" customHeight="1" spans="2:4">
      <c r="B1057" s="136">
        <v>44760</v>
      </c>
      <c r="C1057" s="128">
        <v>16278.5</v>
      </c>
      <c r="D1057" s="129">
        <f t="shared" si="18"/>
        <v>0.00381177626931217</v>
      </c>
    </row>
    <row r="1058" ht="14.25" customHeight="1" spans="2:4">
      <c r="B1058" s="136">
        <v>44757</v>
      </c>
      <c r="C1058" s="128">
        <v>16049.2</v>
      </c>
      <c r="D1058" s="129">
        <f t="shared" si="18"/>
        <v>0.014287316501757</v>
      </c>
    </row>
    <row r="1059" ht="14.25" customHeight="1" spans="2:4">
      <c r="B1059" s="136">
        <v>44756</v>
      </c>
      <c r="C1059" s="128">
        <v>15938.65</v>
      </c>
      <c r="D1059" s="129">
        <f t="shared" si="18"/>
        <v>0.00693597011039215</v>
      </c>
    </row>
    <row r="1060" ht="14.25" customHeight="1" spans="2:4">
      <c r="B1060" s="136">
        <v>44755</v>
      </c>
      <c r="C1060" s="128">
        <v>15966.65</v>
      </c>
      <c r="D1060" s="129">
        <f t="shared" si="18"/>
        <v>-0.00175365527521432</v>
      </c>
    </row>
    <row r="1061" ht="14.25" customHeight="1" spans="2:4">
      <c r="B1061" s="136">
        <v>44754</v>
      </c>
      <c r="C1061" s="128">
        <v>16058.3</v>
      </c>
      <c r="D1061" s="129">
        <f t="shared" si="18"/>
        <v>-0.00570732892024683</v>
      </c>
    </row>
    <row r="1062" ht="14.25" customHeight="1" spans="2:4">
      <c r="B1062" s="136">
        <v>44753</v>
      </c>
      <c r="C1062" s="128">
        <v>16216</v>
      </c>
      <c r="D1062" s="129">
        <f t="shared" si="18"/>
        <v>-0.00972496299950676</v>
      </c>
    </row>
    <row r="1063" ht="14.25" customHeight="1" spans="2:4">
      <c r="B1063" s="136">
        <v>44750</v>
      </c>
      <c r="C1063" s="128">
        <v>16220.6</v>
      </c>
      <c r="D1063" s="129">
        <f t="shared" si="18"/>
        <v>-0.000283590002835954</v>
      </c>
    </row>
    <row r="1064" ht="14.25" customHeight="1" spans="2:4">
      <c r="B1064" s="136">
        <v>44749</v>
      </c>
      <c r="C1064" s="128">
        <v>16132.9</v>
      </c>
      <c r="D1064" s="129">
        <f t="shared" si="18"/>
        <v>0.00543609642407761</v>
      </c>
    </row>
    <row r="1065" ht="14.25" customHeight="1" spans="2:4">
      <c r="B1065" s="136">
        <v>44748</v>
      </c>
      <c r="C1065" s="128">
        <v>15989.8</v>
      </c>
      <c r="D1065" s="129">
        <f t="shared" si="18"/>
        <v>0.0089494552777396</v>
      </c>
    </row>
    <row r="1066" ht="14.25" customHeight="1" spans="2:4">
      <c r="B1066" s="136">
        <v>44747</v>
      </c>
      <c r="C1066" s="128">
        <v>15810.85</v>
      </c>
      <c r="D1066" s="129">
        <f t="shared" si="18"/>
        <v>0.0113181770746038</v>
      </c>
    </row>
    <row r="1067" ht="14.25" customHeight="1" spans="2:4">
      <c r="B1067" s="136">
        <v>44746</v>
      </c>
      <c r="C1067" s="128">
        <v>15835.35</v>
      </c>
      <c r="D1067" s="129">
        <f t="shared" si="18"/>
        <v>-0.00154717136027938</v>
      </c>
    </row>
    <row r="1068" ht="14.25" customHeight="1" spans="2:4">
      <c r="B1068" s="136">
        <v>44743</v>
      </c>
      <c r="C1068" s="128">
        <v>15752.05</v>
      </c>
      <c r="D1068" s="129">
        <f t="shared" si="18"/>
        <v>0.00528820058341628</v>
      </c>
    </row>
    <row r="1069" ht="14.25" customHeight="1" spans="2:4">
      <c r="B1069" s="136">
        <v>44742</v>
      </c>
      <c r="C1069" s="128">
        <v>15780.25</v>
      </c>
      <c r="D1069" s="129">
        <f t="shared" si="18"/>
        <v>-0.00178704393149665</v>
      </c>
    </row>
    <row r="1070" ht="14.25" customHeight="1" spans="2:4">
      <c r="B1070" s="136">
        <v>44741</v>
      </c>
      <c r="C1070" s="128">
        <v>15799.1</v>
      </c>
      <c r="D1070" s="129">
        <f t="shared" si="18"/>
        <v>-0.00119310593641409</v>
      </c>
    </row>
    <row r="1071" ht="14.25" customHeight="1" spans="2:4">
      <c r="B1071" s="136">
        <v>44740</v>
      </c>
      <c r="C1071" s="128">
        <v>15850.2</v>
      </c>
      <c r="D1071" s="129">
        <f t="shared" si="18"/>
        <v>-0.00322393408285071</v>
      </c>
    </row>
    <row r="1072" ht="14.25" customHeight="1" spans="2:4">
      <c r="B1072" s="136">
        <v>44739</v>
      </c>
      <c r="C1072" s="128">
        <v>15832.05</v>
      </c>
      <c r="D1072" s="129">
        <f t="shared" si="18"/>
        <v>0.00114640870891658</v>
      </c>
    </row>
    <row r="1073" ht="14.25" customHeight="1" spans="2:4">
      <c r="B1073" s="136">
        <v>44736</v>
      </c>
      <c r="C1073" s="128">
        <v>15699.25</v>
      </c>
      <c r="D1073" s="129">
        <f t="shared" si="18"/>
        <v>0.00845900281860601</v>
      </c>
    </row>
    <row r="1074" ht="14.25" customHeight="1" spans="2:4">
      <c r="B1074" s="136">
        <v>44735</v>
      </c>
      <c r="C1074" s="128">
        <v>15556.65</v>
      </c>
      <c r="D1074" s="129">
        <f t="shared" si="18"/>
        <v>0.00916649792853863</v>
      </c>
    </row>
    <row r="1075" ht="14.25" customHeight="1" spans="2:4">
      <c r="B1075" s="136">
        <v>44734</v>
      </c>
      <c r="C1075" s="128">
        <v>15413.3</v>
      </c>
      <c r="D1075" s="129">
        <f t="shared" si="18"/>
        <v>0.00930040938669863</v>
      </c>
    </row>
    <row r="1076" ht="14.25" customHeight="1" spans="2:4">
      <c r="B1076" s="136">
        <v>44733</v>
      </c>
      <c r="C1076" s="128">
        <v>15638.8</v>
      </c>
      <c r="D1076" s="129">
        <f t="shared" si="18"/>
        <v>-0.0144192649052357</v>
      </c>
    </row>
    <row r="1077" ht="14.25" customHeight="1" spans="2:4">
      <c r="B1077" s="136">
        <v>44732</v>
      </c>
      <c r="C1077" s="128">
        <v>15350.15</v>
      </c>
      <c r="D1077" s="129">
        <f t="shared" si="18"/>
        <v>0.0188043765044641</v>
      </c>
    </row>
    <row r="1078" ht="14.25" customHeight="1" spans="2:4">
      <c r="B1078" s="136">
        <v>44729</v>
      </c>
      <c r="C1078" s="128">
        <v>15293.5</v>
      </c>
      <c r="D1078" s="129">
        <f t="shared" si="18"/>
        <v>0.00370418805374828</v>
      </c>
    </row>
    <row r="1079" ht="14.25" customHeight="1" spans="2:4">
      <c r="B1079" s="136">
        <v>44728</v>
      </c>
      <c r="C1079" s="128">
        <v>15360.6</v>
      </c>
      <c r="D1079" s="129">
        <f t="shared" si="18"/>
        <v>-0.00436831894587453</v>
      </c>
    </row>
    <row r="1080" ht="14.25" customHeight="1" spans="2:4">
      <c r="B1080" s="136">
        <v>44727</v>
      </c>
      <c r="C1080" s="128">
        <v>15692.15</v>
      </c>
      <c r="D1080" s="129">
        <f t="shared" si="18"/>
        <v>-0.0211283985942015</v>
      </c>
    </row>
    <row r="1081" ht="14.25" customHeight="1" spans="2:4">
      <c r="B1081" s="136">
        <v>44726</v>
      </c>
      <c r="C1081" s="128">
        <v>15732.1</v>
      </c>
      <c r="D1081" s="129">
        <f t="shared" si="18"/>
        <v>-0.0025393939779178</v>
      </c>
    </row>
    <row r="1082" ht="14.25" customHeight="1" spans="2:4">
      <c r="B1082" s="136">
        <v>44725</v>
      </c>
      <c r="C1082" s="128">
        <v>15774.4</v>
      </c>
      <c r="D1082" s="129">
        <f t="shared" si="18"/>
        <v>-0.00268155999594277</v>
      </c>
    </row>
    <row r="1083" ht="14.25" customHeight="1" spans="2:4">
      <c r="B1083" s="136">
        <v>44722</v>
      </c>
      <c r="C1083" s="128">
        <v>16201.8</v>
      </c>
      <c r="D1083" s="129">
        <f t="shared" si="18"/>
        <v>-0.0263797849621646</v>
      </c>
    </row>
    <row r="1084" ht="14.25" customHeight="1" spans="2:4">
      <c r="B1084" s="136">
        <v>44721</v>
      </c>
      <c r="C1084" s="128">
        <v>16478.1</v>
      </c>
      <c r="D1084" s="129">
        <f t="shared" si="18"/>
        <v>-0.0167677098694631</v>
      </c>
    </row>
    <row r="1085" ht="14.25" customHeight="1" spans="2:4">
      <c r="B1085" s="136">
        <v>44720</v>
      </c>
      <c r="C1085" s="128">
        <v>16356.25</v>
      </c>
      <c r="D1085" s="129">
        <f t="shared" si="18"/>
        <v>0.00744975162399686</v>
      </c>
    </row>
    <row r="1086" ht="14.25" customHeight="1" spans="2:4">
      <c r="B1086" s="136">
        <v>44719</v>
      </c>
      <c r="C1086" s="128">
        <v>16416.35</v>
      </c>
      <c r="D1086" s="129">
        <f t="shared" si="18"/>
        <v>-0.00366098432355544</v>
      </c>
    </row>
    <row r="1087" ht="14.25" customHeight="1" spans="2:4">
      <c r="B1087" s="136">
        <v>44718</v>
      </c>
      <c r="C1087" s="128">
        <v>16569.55</v>
      </c>
      <c r="D1087" s="129">
        <f t="shared" si="18"/>
        <v>-0.00924587571780766</v>
      </c>
    </row>
    <row r="1088" ht="14.25" customHeight="1" spans="2:4">
      <c r="B1088" s="136">
        <v>44715</v>
      </c>
      <c r="C1088" s="128">
        <v>16584.3</v>
      </c>
      <c r="D1088" s="129">
        <f t="shared" si="18"/>
        <v>-0.00088939539202737</v>
      </c>
    </row>
    <row r="1089" ht="14.25" customHeight="1" spans="2:4">
      <c r="B1089" s="136">
        <v>44714</v>
      </c>
      <c r="C1089" s="128">
        <v>16628</v>
      </c>
      <c r="D1089" s="129">
        <f t="shared" si="18"/>
        <v>-0.0026280971854703</v>
      </c>
    </row>
    <row r="1090" ht="14.25" customHeight="1" spans="2:4">
      <c r="B1090" s="136">
        <v>44713</v>
      </c>
      <c r="C1090" s="128">
        <v>16522.75</v>
      </c>
      <c r="D1090" s="129">
        <f t="shared" ref="D1090:D1153" si="19">C1089/C1090-1</f>
        <v>0.00637000499311546</v>
      </c>
    </row>
    <row r="1091" ht="14.25" customHeight="1" spans="2:4">
      <c r="B1091" s="136">
        <v>44712</v>
      </c>
      <c r="C1091" s="128">
        <v>16584.55</v>
      </c>
      <c r="D1091" s="129">
        <f t="shared" si="19"/>
        <v>-0.00372635977460944</v>
      </c>
    </row>
    <row r="1092" ht="14.25" customHeight="1" spans="2:4">
      <c r="B1092" s="136">
        <v>44711</v>
      </c>
      <c r="C1092" s="128">
        <v>16661.4</v>
      </c>
      <c r="D1092" s="129">
        <f t="shared" si="19"/>
        <v>-0.00461245753658168</v>
      </c>
    </row>
    <row r="1093" ht="14.25" customHeight="1" spans="2:4">
      <c r="B1093" s="136">
        <v>44708</v>
      </c>
      <c r="C1093" s="128">
        <v>16352.45</v>
      </c>
      <c r="D1093" s="129">
        <f t="shared" si="19"/>
        <v>0.0188931933746932</v>
      </c>
    </row>
    <row r="1094" ht="14.25" customHeight="1" spans="2:4">
      <c r="B1094" s="136">
        <v>44707</v>
      </c>
      <c r="C1094" s="128">
        <v>16170.15</v>
      </c>
      <c r="D1094" s="129">
        <f t="shared" si="19"/>
        <v>0.0112738595498496</v>
      </c>
    </row>
    <row r="1095" ht="14.25" customHeight="1" spans="2:4">
      <c r="B1095" s="136">
        <v>44706</v>
      </c>
      <c r="C1095" s="128">
        <v>16025.8</v>
      </c>
      <c r="D1095" s="129">
        <f t="shared" si="19"/>
        <v>0.00900735064708158</v>
      </c>
    </row>
    <row r="1096" ht="14.25" customHeight="1" spans="2:4">
      <c r="B1096" s="136">
        <v>44705</v>
      </c>
      <c r="C1096" s="128">
        <v>16125.15</v>
      </c>
      <c r="D1096" s="129">
        <f t="shared" si="19"/>
        <v>-0.00616118299674739</v>
      </c>
    </row>
    <row r="1097" ht="14.25" customHeight="1" spans="2:4">
      <c r="B1097" s="136">
        <v>44704</v>
      </c>
      <c r="C1097" s="128">
        <v>16214.7</v>
      </c>
      <c r="D1097" s="129">
        <f t="shared" si="19"/>
        <v>-0.00552276637865645</v>
      </c>
    </row>
    <row r="1098" ht="14.25" customHeight="1" spans="2:4">
      <c r="B1098" s="136">
        <v>44701</v>
      </c>
      <c r="C1098" s="128">
        <v>16266.15</v>
      </c>
      <c r="D1098" s="129">
        <f t="shared" si="19"/>
        <v>-0.00316301030053201</v>
      </c>
    </row>
    <row r="1099" ht="14.25" customHeight="1" spans="2:4">
      <c r="B1099" s="136">
        <v>44700</v>
      </c>
      <c r="C1099" s="128">
        <v>15809.4</v>
      </c>
      <c r="D1099" s="129">
        <f t="shared" si="19"/>
        <v>0.0288910395081408</v>
      </c>
    </row>
    <row r="1100" ht="14.25" customHeight="1" spans="2:4">
      <c r="B1100" s="136">
        <v>44699</v>
      </c>
      <c r="C1100" s="128">
        <v>16240.3</v>
      </c>
      <c r="D1100" s="129">
        <f t="shared" si="19"/>
        <v>-0.0265327610943148</v>
      </c>
    </row>
    <row r="1101" ht="14.25" customHeight="1" spans="2:4">
      <c r="B1101" s="136">
        <v>44698</v>
      </c>
      <c r="C1101" s="128">
        <v>16259.3</v>
      </c>
      <c r="D1101" s="129">
        <f t="shared" si="19"/>
        <v>-0.00116856199221371</v>
      </c>
    </row>
    <row r="1102" ht="14.25" customHeight="1" spans="2:4">
      <c r="B1102" s="136">
        <v>44697</v>
      </c>
      <c r="C1102" s="128">
        <v>15842.3</v>
      </c>
      <c r="D1102" s="129">
        <f t="shared" si="19"/>
        <v>0.0263219355775361</v>
      </c>
    </row>
    <row r="1103" ht="14.25" customHeight="1" spans="2:4">
      <c r="B1103" s="136">
        <v>44694</v>
      </c>
      <c r="C1103" s="128">
        <v>15782.15</v>
      </c>
      <c r="D1103" s="129">
        <f t="shared" si="19"/>
        <v>0.00381126779304464</v>
      </c>
    </row>
    <row r="1104" ht="14.25" customHeight="1" spans="2:4">
      <c r="B1104" s="136">
        <v>44693</v>
      </c>
      <c r="C1104" s="128">
        <v>15808</v>
      </c>
      <c r="D1104" s="129">
        <f t="shared" si="19"/>
        <v>-0.00163524797570858</v>
      </c>
    </row>
    <row r="1105" ht="14.25" customHeight="1" spans="2:4">
      <c r="B1105" s="136">
        <v>44692</v>
      </c>
      <c r="C1105" s="128">
        <v>16167.1</v>
      </c>
      <c r="D1105" s="129">
        <f t="shared" si="19"/>
        <v>-0.0222117757668351</v>
      </c>
    </row>
    <row r="1106" ht="14.25" customHeight="1" spans="2:4">
      <c r="B1106" s="136">
        <v>44691</v>
      </c>
      <c r="C1106" s="128">
        <v>16240.05</v>
      </c>
      <c r="D1106" s="129">
        <f t="shared" si="19"/>
        <v>-0.00449198124390005</v>
      </c>
    </row>
    <row r="1107" ht="14.25" customHeight="1" spans="2:4">
      <c r="B1107" s="136">
        <v>44690</v>
      </c>
      <c r="C1107" s="128">
        <v>16301.85</v>
      </c>
      <c r="D1107" s="129">
        <f t="shared" si="19"/>
        <v>-0.00379098077825535</v>
      </c>
    </row>
    <row r="1108" ht="14.25" customHeight="1" spans="2:4">
      <c r="B1108" s="136">
        <v>44687</v>
      </c>
      <c r="C1108" s="128">
        <v>16411.25</v>
      </c>
      <c r="D1108" s="129">
        <f t="shared" si="19"/>
        <v>-0.00666615888491129</v>
      </c>
    </row>
    <row r="1109" ht="14.25" customHeight="1" spans="2:4">
      <c r="B1109" s="136">
        <v>44686</v>
      </c>
      <c r="C1109" s="128">
        <v>16682.65</v>
      </c>
      <c r="D1109" s="129">
        <f t="shared" si="19"/>
        <v>-0.0162683986057371</v>
      </c>
    </row>
    <row r="1110" ht="14.25" customHeight="1" spans="2:4">
      <c r="B1110" s="136">
        <v>44685</v>
      </c>
      <c r="C1110" s="128">
        <v>16677.6</v>
      </c>
      <c r="D1110" s="129">
        <f t="shared" si="19"/>
        <v>0.000302801362306537</v>
      </c>
    </row>
    <row r="1111" ht="14.25" customHeight="1" spans="2:4">
      <c r="B1111" s="136">
        <v>44683</v>
      </c>
      <c r="C1111" s="128">
        <v>17069.1</v>
      </c>
      <c r="D1111" s="129">
        <f t="shared" si="19"/>
        <v>-0.0229361829270436</v>
      </c>
    </row>
    <row r="1112" ht="14.25" customHeight="1" spans="2:4">
      <c r="B1112" s="136">
        <v>44680</v>
      </c>
      <c r="C1112" s="128">
        <v>17102.55</v>
      </c>
      <c r="D1112" s="129">
        <f t="shared" si="19"/>
        <v>-0.0019558486892306</v>
      </c>
    </row>
    <row r="1113" ht="14.25" customHeight="1" spans="2:4">
      <c r="B1113" s="136">
        <v>44679</v>
      </c>
      <c r="C1113" s="128">
        <v>17245.05</v>
      </c>
      <c r="D1113" s="129">
        <f t="shared" si="19"/>
        <v>-0.00826324075604301</v>
      </c>
    </row>
    <row r="1114" ht="14.25" customHeight="1" spans="2:4">
      <c r="B1114" s="136">
        <v>44678</v>
      </c>
      <c r="C1114" s="128">
        <v>17038.4</v>
      </c>
      <c r="D1114" s="129">
        <f t="shared" si="19"/>
        <v>0.0121284862428395</v>
      </c>
    </row>
    <row r="1115" ht="14.25" customHeight="1" spans="2:4">
      <c r="B1115" s="136">
        <v>44677</v>
      </c>
      <c r="C1115" s="128">
        <v>17200.8</v>
      </c>
      <c r="D1115" s="129">
        <f t="shared" si="19"/>
        <v>-0.00944142132924042</v>
      </c>
    </row>
    <row r="1116" ht="14.25" customHeight="1" spans="2:4">
      <c r="B1116" s="136">
        <v>44676</v>
      </c>
      <c r="C1116" s="128">
        <v>16953.95</v>
      </c>
      <c r="D1116" s="129">
        <f t="shared" si="19"/>
        <v>0.0145600287838525</v>
      </c>
    </row>
    <row r="1117" ht="14.25" customHeight="1" spans="2:4">
      <c r="B1117" s="136">
        <v>44673</v>
      </c>
      <c r="C1117" s="128">
        <v>17171.95</v>
      </c>
      <c r="D1117" s="129">
        <f t="shared" si="19"/>
        <v>-0.0126951219867284</v>
      </c>
    </row>
    <row r="1118" ht="14.25" customHeight="1" spans="2:4">
      <c r="B1118" s="136">
        <v>44672</v>
      </c>
      <c r="C1118" s="128">
        <v>17392.6</v>
      </c>
      <c r="D1118" s="129">
        <f t="shared" si="19"/>
        <v>-0.0126864298609752</v>
      </c>
    </row>
    <row r="1119" ht="14.25" customHeight="1" spans="2:4">
      <c r="B1119" s="136">
        <v>44671</v>
      </c>
      <c r="C1119" s="128">
        <v>17136.55</v>
      </c>
      <c r="D1119" s="129">
        <f t="shared" si="19"/>
        <v>0.0149417473178672</v>
      </c>
    </row>
    <row r="1120" ht="14.25" customHeight="1" spans="2:4">
      <c r="B1120" s="136">
        <v>44670</v>
      </c>
      <c r="C1120" s="128">
        <v>16958.65</v>
      </c>
      <c r="D1120" s="129">
        <f t="shared" si="19"/>
        <v>0.0104902218042118</v>
      </c>
    </row>
    <row r="1121" ht="14.25" customHeight="1" spans="2:4">
      <c r="B1121" s="136">
        <v>44669</v>
      </c>
      <c r="C1121" s="128">
        <v>17173.65</v>
      </c>
      <c r="D1121" s="129">
        <f t="shared" si="19"/>
        <v>-0.012519179091224</v>
      </c>
    </row>
    <row r="1122" ht="14.25" customHeight="1" spans="2:4">
      <c r="B1122" s="136">
        <v>44664</v>
      </c>
      <c r="C1122" s="128">
        <v>17475.65</v>
      </c>
      <c r="D1122" s="129">
        <f t="shared" si="19"/>
        <v>-0.0172811883964259</v>
      </c>
    </row>
    <row r="1123" ht="14.25" customHeight="1" spans="2:4">
      <c r="B1123" s="136">
        <v>44663</v>
      </c>
      <c r="C1123" s="128">
        <v>17530.3</v>
      </c>
      <c r="D1123" s="129">
        <f t="shared" si="19"/>
        <v>-0.00311745948443543</v>
      </c>
    </row>
    <row r="1124" ht="14.25" customHeight="1" spans="2:4">
      <c r="B1124" s="136">
        <v>44662</v>
      </c>
      <c r="C1124" s="128">
        <v>17674.95</v>
      </c>
      <c r="D1124" s="129">
        <f t="shared" si="19"/>
        <v>-0.00818389868146741</v>
      </c>
    </row>
    <row r="1125" ht="14.25" customHeight="1" spans="2:4">
      <c r="B1125" s="136">
        <v>44659</v>
      </c>
      <c r="C1125" s="128">
        <v>17784.35</v>
      </c>
      <c r="D1125" s="129">
        <f t="shared" si="19"/>
        <v>-0.00615147587626186</v>
      </c>
    </row>
    <row r="1126" ht="14.25" customHeight="1" spans="2:4">
      <c r="B1126" s="136">
        <v>44658</v>
      </c>
      <c r="C1126" s="128">
        <v>17639.55</v>
      </c>
      <c r="D1126" s="129">
        <f t="shared" si="19"/>
        <v>0.00820882618887664</v>
      </c>
    </row>
    <row r="1127" ht="14.25" customHeight="1" spans="2:4">
      <c r="B1127" s="136">
        <v>44657</v>
      </c>
      <c r="C1127" s="128">
        <v>17807.65</v>
      </c>
      <c r="D1127" s="129">
        <f t="shared" si="19"/>
        <v>-0.00943976324781781</v>
      </c>
    </row>
    <row r="1128" ht="14.25" customHeight="1" spans="2:4">
      <c r="B1128" s="136">
        <v>44656</v>
      </c>
      <c r="C1128" s="128">
        <v>17957.4</v>
      </c>
      <c r="D1128" s="129">
        <f t="shared" si="19"/>
        <v>-0.00833918050497284</v>
      </c>
    </row>
    <row r="1129" ht="14.25" customHeight="1" spans="2:4">
      <c r="B1129" s="136">
        <v>44655</v>
      </c>
      <c r="C1129" s="128">
        <v>18053.4</v>
      </c>
      <c r="D1129" s="129">
        <f t="shared" si="19"/>
        <v>-0.0053175579115291</v>
      </c>
    </row>
    <row r="1130" ht="14.25" customHeight="1" spans="2:4">
      <c r="B1130" s="136">
        <v>44652</v>
      </c>
      <c r="C1130" s="128">
        <v>17670.45</v>
      </c>
      <c r="D1130" s="129">
        <f t="shared" si="19"/>
        <v>0.0216717740634789</v>
      </c>
    </row>
    <row r="1131" ht="14.25" customHeight="1" spans="2:4">
      <c r="B1131" s="136">
        <v>44651</v>
      </c>
      <c r="C1131" s="128">
        <v>17464.75</v>
      </c>
      <c r="D1131" s="129">
        <f t="shared" si="19"/>
        <v>0.0117780099915545</v>
      </c>
    </row>
    <row r="1132" ht="14.25" customHeight="1" spans="2:4">
      <c r="B1132" s="136">
        <v>44650</v>
      </c>
      <c r="C1132" s="128">
        <v>17498.25</v>
      </c>
      <c r="D1132" s="129">
        <f t="shared" si="19"/>
        <v>-0.00191447716200188</v>
      </c>
    </row>
    <row r="1133" ht="14.25" customHeight="1" spans="2:4">
      <c r="B1133" s="136">
        <v>44649</v>
      </c>
      <c r="C1133" s="128">
        <v>17325.3</v>
      </c>
      <c r="D1133" s="129">
        <f t="shared" si="19"/>
        <v>0.00998251112534843</v>
      </c>
    </row>
    <row r="1134" ht="14.25" customHeight="1" spans="2:4">
      <c r="B1134" s="136">
        <v>44648</v>
      </c>
      <c r="C1134" s="128">
        <v>17222</v>
      </c>
      <c r="D1134" s="129">
        <f t="shared" si="19"/>
        <v>0.00599814191150849</v>
      </c>
    </row>
    <row r="1135" ht="14.25" customHeight="1" spans="2:4">
      <c r="B1135" s="136">
        <v>44645</v>
      </c>
      <c r="C1135" s="128">
        <v>17153</v>
      </c>
      <c r="D1135" s="129">
        <f t="shared" si="19"/>
        <v>0.00402261994986297</v>
      </c>
    </row>
    <row r="1136" ht="14.25" customHeight="1" spans="2:4">
      <c r="B1136" s="136">
        <v>44644</v>
      </c>
      <c r="C1136" s="128">
        <v>17222.75</v>
      </c>
      <c r="D1136" s="129">
        <f t="shared" si="19"/>
        <v>-0.00404987589090011</v>
      </c>
    </row>
    <row r="1137" ht="14.25" customHeight="1" spans="2:4">
      <c r="B1137" s="136">
        <v>44643</v>
      </c>
      <c r="C1137" s="128">
        <v>17245.65</v>
      </c>
      <c r="D1137" s="129">
        <f t="shared" si="19"/>
        <v>-0.00132787108633203</v>
      </c>
    </row>
    <row r="1138" ht="14.25" customHeight="1" spans="2:4">
      <c r="B1138" s="136">
        <v>44642</v>
      </c>
      <c r="C1138" s="128">
        <v>17315.5</v>
      </c>
      <c r="D1138" s="129">
        <f t="shared" si="19"/>
        <v>-0.00403395801449558</v>
      </c>
    </row>
    <row r="1139" ht="14.25" customHeight="1" spans="2:4">
      <c r="B1139" s="136">
        <v>44641</v>
      </c>
      <c r="C1139" s="128">
        <v>17117.6</v>
      </c>
      <c r="D1139" s="129">
        <f t="shared" si="19"/>
        <v>0.0115612001682479</v>
      </c>
    </row>
    <row r="1140" ht="14.25" customHeight="1" spans="2:4">
      <c r="B1140" s="136">
        <v>44637</v>
      </c>
      <c r="C1140" s="128">
        <v>17287.05</v>
      </c>
      <c r="D1140" s="129">
        <f t="shared" si="19"/>
        <v>-0.00980213512426942</v>
      </c>
    </row>
    <row r="1141" ht="14.25" customHeight="1" spans="2:4">
      <c r="B1141" s="136">
        <v>44636</v>
      </c>
      <c r="C1141" s="128">
        <v>16975.35</v>
      </c>
      <c r="D1141" s="129">
        <f t="shared" si="19"/>
        <v>0.0183619189000521</v>
      </c>
    </row>
    <row r="1142" ht="14.25" customHeight="1" spans="2:4">
      <c r="B1142" s="136">
        <v>44635</v>
      </c>
      <c r="C1142" s="128">
        <v>16663</v>
      </c>
      <c r="D1142" s="129">
        <f t="shared" si="19"/>
        <v>0.018745123927264</v>
      </c>
    </row>
    <row r="1143" ht="14.25" customHeight="1" spans="2:4">
      <c r="B1143" s="136">
        <v>44634</v>
      </c>
      <c r="C1143" s="128">
        <v>16871.3</v>
      </c>
      <c r="D1143" s="129">
        <f t="shared" si="19"/>
        <v>-0.0123464107685833</v>
      </c>
    </row>
    <row r="1144" ht="14.25" customHeight="1" spans="2:4">
      <c r="B1144" s="136">
        <v>44631</v>
      </c>
      <c r="C1144" s="128">
        <v>16630.45</v>
      </c>
      <c r="D1144" s="129">
        <f t="shared" si="19"/>
        <v>0.0144824704081969</v>
      </c>
    </row>
    <row r="1145" ht="14.25" customHeight="1" spans="2:4">
      <c r="B1145" s="136">
        <v>44630</v>
      </c>
      <c r="C1145" s="128">
        <v>16594.9</v>
      </c>
      <c r="D1145" s="129">
        <f t="shared" si="19"/>
        <v>0.00214222441834533</v>
      </c>
    </row>
    <row r="1146" ht="14.25" customHeight="1" spans="2:4">
      <c r="B1146" s="136">
        <v>44629</v>
      </c>
      <c r="C1146" s="128">
        <v>16345.35</v>
      </c>
      <c r="D1146" s="129">
        <f t="shared" si="19"/>
        <v>0.0152673390291429</v>
      </c>
    </row>
    <row r="1147" ht="14.25" customHeight="1" spans="2:4">
      <c r="B1147" s="136">
        <v>44628</v>
      </c>
      <c r="C1147" s="128">
        <v>16013.45</v>
      </c>
      <c r="D1147" s="129">
        <f t="shared" si="19"/>
        <v>0.0207263269314233</v>
      </c>
    </row>
    <row r="1148" ht="14.25" customHeight="1" spans="2:4">
      <c r="B1148" s="136">
        <v>44627</v>
      </c>
      <c r="C1148" s="128">
        <v>15863.15</v>
      </c>
      <c r="D1148" s="129">
        <f t="shared" si="19"/>
        <v>0.00947478905513721</v>
      </c>
    </row>
    <row r="1149" ht="14.25" customHeight="1" spans="2:4">
      <c r="B1149" s="136">
        <v>44624</v>
      </c>
      <c r="C1149" s="128">
        <v>16245.35</v>
      </c>
      <c r="D1149" s="129">
        <f t="shared" si="19"/>
        <v>-0.0235267322649251</v>
      </c>
    </row>
    <row r="1150" ht="14.25" customHeight="1" spans="2:4">
      <c r="B1150" s="136">
        <v>44623</v>
      </c>
      <c r="C1150" s="128">
        <v>16498.05</v>
      </c>
      <c r="D1150" s="129">
        <f t="shared" si="19"/>
        <v>-0.0153169617015344</v>
      </c>
    </row>
    <row r="1151" ht="14.25" customHeight="1" spans="2:4">
      <c r="B1151" s="136">
        <v>44622</v>
      </c>
      <c r="C1151" s="128">
        <v>16605.95</v>
      </c>
      <c r="D1151" s="129">
        <f t="shared" si="19"/>
        <v>-0.00649767101550958</v>
      </c>
    </row>
    <row r="1152" ht="14.25" customHeight="1" spans="2:4">
      <c r="B1152" s="136">
        <v>44620</v>
      </c>
      <c r="C1152" s="128">
        <v>16793.9</v>
      </c>
      <c r="D1152" s="129">
        <f t="shared" si="19"/>
        <v>-0.0111915636034513</v>
      </c>
    </row>
    <row r="1153" ht="14.25" customHeight="1" spans="2:4">
      <c r="B1153" s="136">
        <v>44617</v>
      </c>
      <c r="C1153" s="128">
        <v>16658.4</v>
      </c>
      <c r="D1153" s="129">
        <f t="shared" si="19"/>
        <v>0.00813403448110273</v>
      </c>
    </row>
    <row r="1154" ht="14.25" customHeight="1" spans="2:4">
      <c r="B1154" s="136">
        <v>44616</v>
      </c>
      <c r="C1154" s="128">
        <v>16247.95</v>
      </c>
      <c r="D1154" s="129">
        <f t="shared" ref="D1154:D1217" si="20">C1153/C1154-1</f>
        <v>0.0252616483925665</v>
      </c>
    </row>
    <row r="1155" ht="14.25" customHeight="1" spans="2:4">
      <c r="B1155" s="136">
        <v>44615</v>
      </c>
      <c r="C1155" s="128">
        <v>17063.25</v>
      </c>
      <c r="D1155" s="129">
        <f t="shared" si="20"/>
        <v>-0.0477810499172198</v>
      </c>
    </row>
    <row r="1156" ht="14.25" customHeight="1" spans="2:4">
      <c r="B1156" s="136">
        <v>44614</v>
      </c>
      <c r="C1156" s="128">
        <v>17092.2</v>
      </c>
      <c r="D1156" s="129">
        <f t="shared" si="20"/>
        <v>-0.00169375504616143</v>
      </c>
    </row>
    <row r="1157" ht="14.25" customHeight="1" spans="2:4">
      <c r="B1157" s="136">
        <v>44613</v>
      </c>
      <c r="C1157" s="128">
        <v>17206.65</v>
      </c>
      <c r="D1157" s="129">
        <f t="shared" si="20"/>
        <v>-0.00665149811264831</v>
      </c>
    </row>
    <row r="1158" ht="14.25" customHeight="1" spans="2:4">
      <c r="B1158" s="136">
        <v>44610</v>
      </c>
      <c r="C1158" s="128">
        <v>17276.3</v>
      </c>
      <c r="D1158" s="129">
        <f t="shared" si="20"/>
        <v>-0.00403153452996285</v>
      </c>
    </row>
    <row r="1159" ht="14.25" customHeight="1" spans="2:4">
      <c r="B1159" s="136">
        <v>44609</v>
      </c>
      <c r="C1159" s="128">
        <v>17304.6</v>
      </c>
      <c r="D1159" s="129">
        <f t="shared" si="20"/>
        <v>-0.00163540330316791</v>
      </c>
    </row>
    <row r="1160" ht="14.25" customHeight="1" spans="2:4">
      <c r="B1160" s="136">
        <v>44608</v>
      </c>
      <c r="C1160" s="128">
        <v>17322.2</v>
      </c>
      <c r="D1160" s="129">
        <f t="shared" si="20"/>
        <v>-0.00101603722390931</v>
      </c>
    </row>
    <row r="1161" ht="14.25" customHeight="1" spans="2:4">
      <c r="B1161" s="136">
        <v>44607</v>
      </c>
      <c r="C1161" s="128">
        <v>17352.45</v>
      </c>
      <c r="D1161" s="129">
        <f t="shared" si="20"/>
        <v>-0.00174326968237914</v>
      </c>
    </row>
    <row r="1162" ht="14.25" customHeight="1" spans="2:4">
      <c r="B1162" s="136">
        <v>44606</v>
      </c>
      <c r="C1162" s="128">
        <v>16842.8</v>
      </c>
      <c r="D1162" s="129">
        <f t="shared" si="20"/>
        <v>0.0302592205571521</v>
      </c>
    </row>
    <row r="1163" ht="14.25" customHeight="1" spans="2:4">
      <c r="B1163" s="136">
        <v>44603</v>
      </c>
      <c r="C1163" s="128">
        <v>17374.75</v>
      </c>
      <c r="D1163" s="129">
        <f t="shared" si="20"/>
        <v>-0.0306162678599693</v>
      </c>
    </row>
    <row r="1164" ht="14.25" customHeight="1" spans="2:4">
      <c r="B1164" s="136">
        <v>44602</v>
      </c>
      <c r="C1164" s="128">
        <v>17605.85</v>
      </c>
      <c r="D1164" s="129">
        <f t="shared" si="20"/>
        <v>-0.013126318808805</v>
      </c>
    </row>
    <row r="1165" ht="14.25" customHeight="1" spans="2:4">
      <c r="B1165" s="136">
        <v>44601</v>
      </c>
      <c r="C1165" s="128">
        <v>17463.8</v>
      </c>
      <c r="D1165" s="129">
        <f t="shared" si="20"/>
        <v>0.00813396855209048</v>
      </c>
    </row>
    <row r="1166" ht="14.25" customHeight="1" spans="2:4">
      <c r="B1166" s="136">
        <v>44600</v>
      </c>
      <c r="C1166" s="128">
        <v>17266.75</v>
      </c>
      <c r="D1166" s="129">
        <f t="shared" si="20"/>
        <v>0.0114121070844253</v>
      </c>
    </row>
    <row r="1167" ht="14.25" customHeight="1" spans="2:4">
      <c r="B1167" s="136">
        <v>44599</v>
      </c>
      <c r="C1167" s="128">
        <v>17213.6</v>
      </c>
      <c r="D1167" s="129">
        <f t="shared" si="20"/>
        <v>0.00308767486173722</v>
      </c>
    </row>
    <row r="1168" ht="14.25" customHeight="1" spans="2:4">
      <c r="B1168" s="136">
        <v>44596</v>
      </c>
      <c r="C1168" s="128">
        <v>17516.3</v>
      </c>
      <c r="D1168" s="129">
        <f t="shared" si="20"/>
        <v>-0.0172810467964125</v>
      </c>
    </row>
    <row r="1169" ht="14.25" customHeight="1" spans="2:4">
      <c r="B1169" s="136">
        <v>44595</v>
      </c>
      <c r="C1169" s="128">
        <v>17560.2</v>
      </c>
      <c r="D1169" s="129">
        <f t="shared" si="20"/>
        <v>-0.00249997152652026</v>
      </c>
    </row>
    <row r="1170" ht="14.25" customHeight="1" spans="2:4">
      <c r="B1170" s="136">
        <v>44594</v>
      </c>
      <c r="C1170" s="128">
        <v>17780</v>
      </c>
      <c r="D1170" s="129">
        <f t="shared" si="20"/>
        <v>-0.0123622047244094</v>
      </c>
    </row>
    <row r="1171" ht="14.25" customHeight="1" spans="2:4">
      <c r="B1171" s="136">
        <v>44593</v>
      </c>
      <c r="C1171" s="128">
        <v>17576.85</v>
      </c>
      <c r="D1171" s="129">
        <f t="shared" si="20"/>
        <v>0.0115578161047061</v>
      </c>
    </row>
    <row r="1172" ht="14.25" customHeight="1" spans="2:4">
      <c r="B1172" s="136">
        <v>44592</v>
      </c>
      <c r="C1172" s="128">
        <v>17339.85</v>
      </c>
      <c r="D1172" s="129">
        <f t="shared" si="20"/>
        <v>0.0136679383039646</v>
      </c>
    </row>
    <row r="1173" ht="14.25" customHeight="1" spans="2:4">
      <c r="B1173" s="136">
        <v>44589</v>
      </c>
      <c r="C1173" s="128">
        <v>17101.95</v>
      </c>
      <c r="D1173" s="129">
        <f t="shared" si="20"/>
        <v>0.0139106943944987</v>
      </c>
    </row>
    <row r="1174" ht="14.25" customHeight="1" spans="2:4">
      <c r="B1174" s="136">
        <v>44588</v>
      </c>
      <c r="C1174" s="128">
        <v>17110.15</v>
      </c>
      <c r="D1174" s="129">
        <f t="shared" si="20"/>
        <v>-0.000479247698003893</v>
      </c>
    </row>
    <row r="1175" ht="14.25" customHeight="1" spans="2:4">
      <c r="B1175" s="136">
        <v>44586</v>
      </c>
      <c r="C1175" s="128">
        <v>17277.95</v>
      </c>
      <c r="D1175" s="129">
        <f t="shared" si="20"/>
        <v>-0.00971180030038277</v>
      </c>
    </row>
    <row r="1176" ht="14.25" customHeight="1" spans="2:4">
      <c r="B1176" s="136">
        <v>44585</v>
      </c>
      <c r="C1176" s="128">
        <v>17149.1</v>
      </c>
      <c r="D1176" s="129">
        <f t="shared" si="20"/>
        <v>0.00751351382871412</v>
      </c>
    </row>
    <row r="1177" ht="14.25" customHeight="1" spans="2:4">
      <c r="B1177" s="136">
        <v>44582</v>
      </c>
      <c r="C1177" s="128">
        <v>17617.15</v>
      </c>
      <c r="D1177" s="129">
        <f t="shared" si="20"/>
        <v>-0.0265678614304813</v>
      </c>
    </row>
    <row r="1178" ht="14.25" customHeight="1" spans="2:4">
      <c r="B1178" s="136">
        <v>44581</v>
      </c>
      <c r="C1178" s="128">
        <v>17757</v>
      </c>
      <c r="D1178" s="129">
        <f t="shared" si="20"/>
        <v>-0.0078757673030353</v>
      </c>
    </row>
    <row r="1179" ht="14.25" customHeight="1" spans="2:4">
      <c r="B1179" s="136">
        <v>44580</v>
      </c>
      <c r="C1179" s="128">
        <v>17938.4</v>
      </c>
      <c r="D1179" s="129">
        <f t="shared" si="20"/>
        <v>-0.0101123846050931</v>
      </c>
    </row>
    <row r="1180" ht="14.25" customHeight="1" spans="2:4">
      <c r="B1180" s="136">
        <v>44579</v>
      </c>
      <c r="C1180" s="128">
        <v>18113.05</v>
      </c>
      <c r="D1180" s="129">
        <f t="shared" si="20"/>
        <v>-0.00964221928388631</v>
      </c>
    </row>
    <row r="1181" ht="14.25" customHeight="1" spans="2:4">
      <c r="B1181" s="136">
        <v>44578</v>
      </c>
      <c r="C1181" s="128">
        <v>18308.1</v>
      </c>
      <c r="D1181" s="129">
        <f t="shared" si="20"/>
        <v>-0.0106537543491678</v>
      </c>
    </row>
    <row r="1182" ht="14.25" customHeight="1" spans="2:4">
      <c r="B1182" s="136">
        <v>44575</v>
      </c>
      <c r="C1182" s="128">
        <v>18255.75</v>
      </c>
      <c r="D1182" s="129">
        <f t="shared" si="20"/>
        <v>0.00286758966353062</v>
      </c>
    </row>
    <row r="1183" ht="14.25" customHeight="1" spans="2:4">
      <c r="B1183" s="136">
        <v>44574</v>
      </c>
      <c r="C1183" s="128">
        <v>18257.8</v>
      </c>
      <c r="D1183" s="129">
        <f t="shared" si="20"/>
        <v>-0.000112280778626128</v>
      </c>
    </row>
    <row r="1184" ht="14.25" customHeight="1" spans="2:4">
      <c r="B1184" s="136">
        <v>44573</v>
      </c>
      <c r="C1184" s="128">
        <v>18212.35</v>
      </c>
      <c r="D1184" s="129">
        <f t="shared" si="20"/>
        <v>0.00249555933199175</v>
      </c>
    </row>
    <row r="1185" ht="14.25" customHeight="1" spans="2:4">
      <c r="B1185" s="136">
        <v>44572</v>
      </c>
      <c r="C1185" s="128">
        <v>18055.75</v>
      </c>
      <c r="D1185" s="129">
        <f t="shared" si="20"/>
        <v>0.008673137366213</v>
      </c>
    </row>
    <row r="1186" ht="14.25" customHeight="1" spans="2:4">
      <c r="B1186" s="136">
        <v>44571</v>
      </c>
      <c r="C1186" s="128">
        <v>18003.3</v>
      </c>
      <c r="D1186" s="129">
        <f t="shared" si="20"/>
        <v>0.00291335477384713</v>
      </c>
    </row>
    <row r="1187" ht="14.25" customHeight="1" spans="2:4">
      <c r="B1187" s="136">
        <v>44568</v>
      </c>
      <c r="C1187" s="128">
        <v>17812.7</v>
      </c>
      <c r="D1187" s="129">
        <f t="shared" si="20"/>
        <v>0.0107002307342514</v>
      </c>
    </row>
    <row r="1188" ht="14.25" customHeight="1" spans="2:4">
      <c r="B1188" s="136">
        <v>44567</v>
      </c>
      <c r="C1188" s="128">
        <v>17745.9</v>
      </c>
      <c r="D1188" s="129">
        <f t="shared" si="20"/>
        <v>0.00376424977036938</v>
      </c>
    </row>
    <row r="1189" ht="14.25" customHeight="1" spans="2:4">
      <c r="B1189" s="136">
        <v>44566</v>
      </c>
      <c r="C1189" s="128">
        <v>17925.25</v>
      </c>
      <c r="D1189" s="129">
        <f t="shared" si="20"/>
        <v>-0.0100054392546826</v>
      </c>
    </row>
    <row r="1190" ht="14.25" customHeight="1" spans="2:4">
      <c r="B1190" s="136">
        <v>44565</v>
      </c>
      <c r="C1190" s="128">
        <v>17805.25</v>
      </c>
      <c r="D1190" s="129">
        <f t="shared" si="20"/>
        <v>0.00673958523469209</v>
      </c>
    </row>
    <row r="1191" ht="14.25" customHeight="1" spans="2:4">
      <c r="B1191" s="136">
        <v>44564</v>
      </c>
      <c r="C1191" s="128">
        <v>17625.7</v>
      </c>
      <c r="D1191" s="129">
        <f t="shared" si="20"/>
        <v>0.0101868294592555</v>
      </c>
    </row>
    <row r="1192" ht="14.25" customHeight="1" spans="2:4">
      <c r="B1192" s="136">
        <v>44561</v>
      </c>
      <c r="C1192" s="128">
        <v>17354.05</v>
      </c>
      <c r="D1192" s="129">
        <f t="shared" si="20"/>
        <v>0.0156534065535134</v>
      </c>
    </row>
    <row r="1193" ht="14.25" customHeight="1" spans="2:4">
      <c r="B1193" s="136">
        <v>44560</v>
      </c>
      <c r="C1193" s="128">
        <v>17203.95</v>
      </c>
      <c r="D1193" s="129">
        <f t="shared" si="20"/>
        <v>0.00872474053923655</v>
      </c>
    </row>
    <row r="1194" ht="14.25" customHeight="1" spans="2:4">
      <c r="B1194" s="136">
        <v>44559</v>
      </c>
      <c r="C1194" s="128">
        <v>17213.6</v>
      </c>
      <c r="D1194" s="129">
        <f t="shared" si="20"/>
        <v>-0.000560603243946467</v>
      </c>
    </row>
    <row r="1195" ht="14.25" customHeight="1" spans="2:4">
      <c r="B1195" s="136">
        <v>44558</v>
      </c>
      <c r="C1195" s="128">
        <v>17233.25</v>
      </c>
      <c r="D1195" s="129">
        <f t="shared" si="20"/>
        <v>-0.00114023762203885</v>
      </c>
    </row>
    <row r="1196" ht="14.25" customHeight="1" spans="2:4">
      <c r="B1196" s="136">
        <v>44557</v>
      </c>
      <c r="C1196" s="128">
        <v>17086.25</v>
      </c>
      <c r="D1196" s="129">
        <f t="shared" si="20"/>
        <v>0.00860340917404345</v>
      </c>
    </row>
    <row r="1197" ht="14.25" customHeight="1" spans="2:4">
      <c r="B1197" s="136">
        <v>44554</v>
      </c>
      <c r="C1197" s="128">
        <v>17003.75</v>
      </c>
      <c r="D1197" s="129">
        <f t="shared" si="20"/>
        <v>0.0048518709108285</v>
      </c>
    </row>
    <row r="1198" ht="14.25" customHeight="1" spans="2:4">
      <c r="B1198" s="136">
        <v>44553</v>
      </c>
      <c r="C1198" s="128">
        <v>17072.6</v>
      </c>
      <c r="D1198" s="129">
        <f t="shared" si="20"/>
        <v>-0.00403277766713905</v>
      </c>
    </row>
    <row r="1199" ht="14.25" customHeight="1" spans="2:4">
      <c r="B1199" s="136">
        <v>44552</v>
      </c>
      <c r="C1199" s="128">
        <v>16955.45</v>
      </c>
      <c r="D1199" s="129">
        <f t="shared" si="20"/>
        <v>0.00690928285595471</v>
      </c>
    </row>
    <row r="1200" ht="14.25" customHeight="1" spans="2:4">
      <c r="B1200" s="136">
        <v>44551</v>
      </c>
      <c r="C1200" s="128">
        <v>16770.85</v>
      </c>
      <c r="D1200" s="129">
        <f t="shared" si="20"/>
        <v>0.011007194030118</v>
      </c>
    </row>
    <row r="1201" ht="14.25" customHeight="1" spans="2:4">
      <c r="B1201" s="136">
        <v>44550</v>
      </c>
      <c r="C1201" s="128">
        <v>16614.2</v>
      </c>
      <c r="D1201" s="129">
        <f t="shared" si="20"/>
        <v>0.00942868148932829</v>
      </c>
    </row>
    <row r="1202" ht="14.25" customHeight="1" spans="2:4">
      <c r="B1202" s="136">
        <v>44547</v>
      </c>
      <c r="C1202" s="128">
        <v>16985.2</v>
      </c>
      <c r="D1202" s="129">
        <f t="shared" si="20"/>
        <v>-0.0218425452747097</v>
      </c>
    </row>
    <row r="1203" ht="14.25" customHeight="1" spans="2:4">
      <c r="B1203" s="136">
        <v>44546</v>
      </c>
      <c r="C1203" s="128">
        <v>17248.4</v>
      </c>
      <c r="D1203" s="129">
        <f t="shared" si="20"/>
        <v>-0.0152593863778669</v>
      </c>
    </row>
    <row r="1204" ht="14.25" customHeight="1" spans="2:4">
      <c r="B1204" s="136">
        <v>44545</v>
      </c>
      <c r="C1204" s="128">
        <v>17221.4</v>
      </c>
      <c r="D1204" s="129">
        <f t="shared" si="20"/>
        <v>0.00156781678609175</v>
      </c>
    </row>
    <row r="1205" ht="14.25" customHeight="1" spans="2:4">
      <c r="B1205" s="136">
        <v>44544</v>
      </c>
      <c r="C1205" s="128">
        <v>17324.9</v>
      </c>
      <c r="D1205" s="129">
        <f t="shared" si="20"/>
        <v>-0.00597406045633742</v>
      </c>
    </row>
    <row r="1206" ht="14.25" customHeight="1" spans="2:4">
      <c r="B1206" s="136">
        <v>44543</v>
      </c>
      <c r="C1206" s="128">
        <v>17368.25</v>
      </c>
      <c r="D1206" s="129">
        <f t="shared" si="20"/>
        <v>-0.00249593367207401</v>
      </c>
    </row>
    <row r="1207" ht="14.25" customHeight="1" spans="2:4">
      <c r="B1207" s="136">
        <v>44540</v>
      </c>
      <c r="C1207" s="128">
        <v>17511.3</v>
      </c>
      <c r="D1207" s="129">
        <f t="shared" si="20"/>
        <v>-0.00816901086726851</v>
      </c>
    </row>
    <row r="1208" ht="14.25" customHeight="1" spans="2:4">
      <c r="B1208" s="136">
        <v>44539</v>
      </c>
      <c r="C1208" s="128">
        <v>17516.85</v>
      </c>
      <c r="D1208" s="129">
        <f t="shared" si="20"/>
        <v>-0.000316837787615931</v>
      </c>
    </row>
    <row r="1209" ht="14.25" customHeight="1" spans="2:4">
      <c r="B1209" s="136">
        <v>44538</v>
      </c>
      <c r="C1209" s="128">
        <v>17469.75</v>
      </c>
      <c r="D1209" s="129">
        <f t="shared" si="20"/>
        <v>0.00269608895376283</v>
      </c>
    </row>
    <row r="1210" ht="14.25" customHeight="1" spans="2:4">
      <c r="B1210" s="136">
        <v>44537</v>
      </c>
      <c r="C1210" s="128">
        <v>17176.7</v>
      </c>
      <c r="D1210" s="129">
        <f t="shared" si="20"/>
        <v>0.0170609022687711</v>
      </c>
    </row>
    <row r="1211" ht="14.25" customHeight="1" spans="2:4">
      <c r="B1211" s="136">
        <v>44536</v>
      </c>
      <c r="C1211" s="128">
        <v>16912.25</v>
      </c>
      <c r="D1211" s="129">
        <f t="shared" si="20"/>
        <v>0.015636594775976</v>
      </c>
    </row>
    <row r="1212" ht="14.25" customHeight="1" spans="2:4">
      <c r="B1212" s="136">
        <v>44533</v>
      </c>
      <c r="C1212" s="128">
        <v>17196.7</v>
      </c>
      <c r="D1212" s="129">
        <f t="shared" si="20"/>
        <v>-0.0165409642547698</v>
      </c>
    </row>
    <row r="1213" ht="14.25" customHeight="1" spans="2:4">
      <c r="B1213" s="136">
        <v>44532</v>
      </c>
      <c r="C1213" s="128">
        <v>17401.65</v>
      </c>
      <c r="D1213" s="129">
        <f t="shared" si="20"/>
        <v>-0.0117776187890229</v>
      </c>
    </row>
    <row r="1214" ht="14.25" customHeight="1" spans="2:4">
      <c r="B1214" s="136">
        <v>44531</v>
      </c>
      <c r="C1214" s="128">
        <v>17166.9</v>
      </c>
      <c r="D1214" s="129">
        <f t="shared" si="20"/>
        <v>0.0136745714135924</v>
      </c>
    </row>
    <row r="1215" ht="14.25" customHeight="1" spans="2:4">
      <c r="B1215" s="136">
        <v>44530</v>
      </c>
      <c r="C1215" s="128">
        <v>16983.2</v>
      </c>
      <c r="D1215" s="129">
        <f t="shared" si="20"/>
        <v>0.0108165716708277</v>
      </c>
    </row>
    <row r="1216" ht="14.25" customHeight="1" spans="2:4">
      <c r="B1216" s="136">
        <v>44529</v>
      </c>
      <c r="C1216" s="128">
        <v>17053.95</v>
      </c>
      <c r="D1216" s="129">
        <f t="shared" si="20"/>
        <v>-0.00414859900492259</v>
      </c>
    </row>
    <row r="1217" ht="14.25" customHeight="1" spans="2:4">
      <c r="B1217" s="136">
        <v>44526</v>
      </c>
      <c r="C1217" s="128">
        <v>17026.45</v>
      </c>
      <c r="D1217" s="129">
        <f t="shared" si="20"/>
        <v>0.00161513410017933</v>
      </c>
    </row>
    <row r="1218" ht="14.25" customHeight="1" spans="2:4">
      <c r="B1218" s="136">
        <v>44525</v>
      </c>
      <c r="C1218" s="128">
        <v>17536.25</v>
      </c>
      <c r="D1218" s="129">
        <f t="shared" ref="D1218:D1281" si="21">C1217/C1218-1</f>
        <v>-0.0290712096371801</v>
      </c>
    </row>
    <row r="1219" ht="14.25" customHeight="1" spans="2:4">
      <c r="B1219" s="136">
        <v>44524</v>
      </c>
      <c r="C1219" s="128">
        <v>17415.05</v>
      </c>
      <c r="D1219" s="129">
        <f t="shared" si="21"/>
        <v>0.0069594976758609</v>
      </c>
    </row>
    <row r="1220" ht="14.25" customHeight="1" spans="2:4">
      <c r="B1220" s="136">
        <v>44523</v>
      </c>
      <c r="C1220" s="128">
        <v>17503.35</v>
      </c>
      <c r="D1220" s="129">
        <f t="shared" si="21"/>
        <v>-0.00504474857670101</v>
      </c>
    </row>
    <row r="1221" ht="14.25" customHeight="1" spans="2:4">
      <c r="B1221" s="136">
        <v>44522</v>
      </c>
      <c r="C1221" s="128">
        <v>17416.55</v>
      </c>
      <c r="D1221" s="129">
        <f t="shared" si="21"/>
        <v>0.00498376544149104</v>
      </c>
    </row>
    <row r="1222" ht="14.25" customHeight="1" spans="2:4">
      <c r="B1222" s="136">
        <v>44518</v>
      </c>
      <c r="C1222" s="128">
        <v>17764.8</v>
      </c>
      <c r="D1222" s="129">
        <f t="shared" si="21"/>
        <v>-0.0196033729622624</v>
      </c>
    </row>
    <row r="1223" ht="14.25" customHeight="1" spans="2:4">
      <c r="B1223" s="136">
        <v>44517</v>
      </c>
      <c r="C1223" s="128">
        <v>17898.65</v>
      </c>
      <c r="D1223" s="129">
        <f t="shared" si="21"/>
        <v>-0.00747821763093881</v>
      </c>
    </row>
    <row r="1224" ht="14.25" customHeight="1" spans="2:4">
      <c r="B1224" s="136">
        <v>44516</v>
      </c>
      <c r="C1224" s="128">
        <v>17999.2</v>
      </c>
      <c r="D1224" s="129">
        <f t="shared" si="21"/>
        <v>-0.00558635939375074</v>
      </c>
    </row>
    <row r="1225" ht="14.25" customHeight="1" spans="2:4">
      <c r="B1225" s="136">
        <v>44515</v>
      </c>
      <c r="C1225" s="128">
        <v>18109.45</v>
      </c>
      <c r="D1225" s="129">
        <f t="shared" si="21"/>
        <v>-0.00608798168911806</v>
      </c>
    </row>
    <row r="1226" ht="14.25" customHeight="1" spans="2:4">
      <c r="B1226" s="136">
        <v>44512</v>
      </c>
      <c r="C1226" s="128">
        <v>18102.75</v>
      </c>
      <c r="D1226" s="129">
        <f t="shared" si="21"/>
        <v>0.000370109513748051</v>
      </c>
    </row>
    <row r="1227" ht="14.25" customHeight="1" spans="2:4">
      <c r="B1227" s="136">
        <v>44511</v>
      </c>
      <c r="C1227" s="128">
        <v>17873.6</v>
      </c>
      <c r="D1227" s="129">
        <f t="shared" si="21"/>
        <v>0.0128205845492795</v>
      </c>
    </row>
    <row r="1228" ht="14.25" customHeight="1" spans="2:4">
      <c r="B1228" s="136">
        <v>44510</v>
      </c>
      <c r="C1228" s="128">
        <v>18017.2</v>
      </c>
      <c r="D1228" s="129">
        <f t="shared" si="21"/>
        <v>-0.00797016184534793</v>
      </c>
    </row>
    <row r="1229" ht="14.25" customHeight="1" spans="2:4">
      <c r="B1229" s="136">
        <v>44509</v>
      </c>
      <c r="C1229" s="128">
        <v>18044.25</v>
      </c>
      <c r="D1229" s="129">
        <f t="shared" si="21"/>
        <v>-0.00149909250869384</v>
      </c>
    </row>
    <row r="1230" ht="14.25" customHeight="1" spans="2:4">
      <c r="B1230" s="136">
        <v>44508</v>
      </c>
      <c r="C1230" s="128">
        <v>18068.55</v>
      </c>
      <c r="D1230" s="129">
        <f t="shared" si="21"/>
        <v>-0.00134487825531093</v>
      </c>
    </row>
    <row r="1231" ht="14.25" customHeight="1" spans="2:4">
      <c r="B1231" s="136">
        <v>44504</v>
      </c>
      <c r="C1231" s="128">
        <v>17916.8</v>
      </c>
      <c r="D1231" s="129">
        <f t="shared" si="21"/>
        <v>0.00846970441150208</v>
      </c>
    </row>
    <row r="1232" ht="14.25" customHeight="1" spans="2:4">
      <c r="B1232" s="136">
        <v>44503</v>
      </c>
      <c r="C1232" s="128">
        <v>17829.2</v>
      </c>
      <c r="D1232" s="129">
        <f t="shared" si="21"/>
        <v>0.00491328831355298</v>
      </c>
    </row>
    <row r="1233" ht="14.25" customHeight="1" spans="2:4">
      <c r="B1233" s="136">
        <v>44502</v>
      </c>
      <c r="C1233" s="128">
        <v>17888.95</v>
      </c>
      <c r="D1233" s="129">
        <f t="shared" si="21"/>
        <v>-0.00334005070169019</v>
      </c>
    </row>
    <row r="1234" ht="14.25" customHeight="1" spans="2:4">
      <c r="B1234" s="136">
        <v>44501</v>
      </c>
      <c r="C1234" s="128">
        <v>17929.65</v>
      </c>
      <c r="D1234" s="129">
        <f t="shared" si="21"/>
        <v>-0.00226998296118441</v>
      </c>
    </row>
    <row r="1235" ht="14.25" customHeight="1" spans="2:4">
      <c r="B1235" s="136">
        <v>44498</v>
      </c>
      <c r="C1235" s="128">
        <v>17671.65</v>
      </c>
      <c r="D1235" s="129">
        <f t="shared" si="21"/>
        <v>0.0145996553802277</v>
      </c>
    </row>
    <row r="1236" ht="14.25" customHeight="1" spans="2:4">
      <c r="B1236" s="136">
        <v>44497</v>
      </c>
      <c r="C1236" s="128">
        <v>17857.25</v>
      </c>
      <c r="D1236" s="129">
        <f t="shared" si="21"/>
        <v>-0.010393537638774</v>
      </c>
    </row>
    <row r="1237" ht="14.25" customHeight="1" spans="2:4">
      <c r="B1237" s="136">
        <v>44496</v>
      </c>
      <c r="C1237" s="128">
        <v>18210.95</v>
      </c>
      <c r="D1237" s="129">
        <f t="shared" si="21"/>
        <v>-0.0194223804908585</v>
      </c>
    </row>
    <row r="1238" ht="14.25" customHeight="1" spans="2:4">
      <c r="B1238" s="136">
        <v>44495</v>
      </c>
      <c r="C1238" s="128">
        <v>18268.4</v>
      </c>
      <c r="D1238" s="129">
        <f t="shared" si="21"/>
        <v>-0.00314477458343376</v>
      </c>
    </row>
    <row r="1239" ht="14.25" customHeight="1" spans="2:4">
      <c r="B1239" s="136">
        <v>44494</v>
      </c>
      <c r="C1239" s="128">
        <v>18125.4</v>
      </c>
      <c r="D1239" s="129">
        <f t="shared" si="21"/>
        <v>0.00788948105972831</v>
      </c>
    </row>
    <row r="1240" ht="14.25" customHeight="1" spans="2:4">
      <c r="B1240" s="136">
        <v>44491</v>
      </c>
      <c r="C1240" s="128">
        <v>18114.9</v>
      </c>
      <c r="D1240" s="129">
        <f t="shared" si="21"/>
        <v>0.0005796333405097</v>
      </c>
    </row>
    <row r="1241" ht="14.25" customHeight="1" spans="2:4">
      <c r="B1241" s="136">
        <v>44490</v>
      </c>
      <c r="C1241" s="128">
        <v>18178.1</v>
      </c>
      <c r="D1241" s="129">
        <f t="shared" si="21"/>
        <v>-0.00347671098739677</v>
      </c>
    </row>
    <row r="1242" ht="14.25" customHeight="1" spans="2:4">
      <c r="B1242" s="136">
        <v>44489</v>
      </c>
      <c r="C1242" s="128">
        <v>18266.6</v>
      </c>
      <c r="D1242" s="129">
        <f t="shared" si="21"/>
        <v>-0.00484490819309558</v>
      </c>
    </row>
    <row r="1243" ht="14.25" customHeight="1" spans="2:4">
      <c r="B1243" s="136">
        <v>44488</v>
      </c>
      <c r="C1243" s="128">
        <v>18418.75</v>
      </c>
      <c r="D1243" s="129">
        <f t="shared" si="21"/>
        <v>-0.00826060400407203</v>
      </c>
    </row>
    <row r="1244" ht="14.25" customHeight="1" spans="2:4">
      <c r="B1244" s="136">
        <v>44487</v>
      </c>
      <c r="C1244" s="128">
        <v>18477.05</v>
      </c>
      <c r="D1244" s="129">
        <f t="shared" si="21"/>
        <v>-0.00315526558622725</v>
      </c>
    </row>
    <row r="1245" ht="14.25" customHeight="1" spans="2:4">
      <c r="B1245" s="136">
        <v>44483</v>
      </c>
      <c r="C1245" s="128">
        <v>18338.55</v>
      </c>
      <c r="D1245" s="129">
        <f t="shared" si="21"/>
        <v>0.00755239645446348</v>
      </c>
    </row>
    <row r="1246" ht="14.25" customHeight="1" spans="2:4">
      <c r="B1246" s="136">
        <v>44482</v>
      </c>
      <c r="C1246" s="128">
        <v>18161.75</v>
      </c>
      <c r="D1246" s="129">
        <f t="shared" si="21"/>
        <v>0.00973474472448954</v>
      </c>
    </row>
    <row r="1247" ht="14.25" customHeight="1" spans="2:4">
      <c r="B1247" s="136">
        <v>44481</v>
      </c>
      <c r="C1247" s="128">
        <v>17991.95</v>
      </c>
      <c r="D1247" s="129">
        <f t="shared" si="21"/>
        <v>0.00943755401721313</v>
      </c>
    </row>
    <row r="1248" ht="14.25" customHeight="1" spans="2:4">
      <c r="B1248" s="136">
        <v>44480</v>
      </c>
      <c r="C1248" s="128">
        <v>17945.95</v>
      </c>
      <c r="D1248" s="129">
        <f t="shared" si="21"/>
        <v>0.00256325243300015</v>
      </c>
    </row>
    <row r="1249" ht="14.25" customHeight="1" spans="2:4">
      <c r="B1249" s="136">
        <v>44477</v>
      </c>
      <c r="C1249" s="128">
        <v>17895.2</v>
      </c>
      <c r="D1249" s="129">
        <f t="shared" si="21"/>
        <v>0.00283595601055042</v>
      </c>
    </row>
    <row r="1250" ht="14.25" customHeight="1" spans="2:4">
      <c r="B1250" s="136">
        <v>44476</v>
      </c>
      <c r="C1250" s="128">
        <v>17790.35</v>
      </c>
      <c r="D1250" s="129">
        <f t="shared" si="21"/>
        <v>0.00589364458821784</v>
      </c>
    </row>
    <row r="1251" ht="14.25" customHeight="1" spans="2:4">
      <c r="B1251" s="136">
        <v>44475</v>
      </c>
      <c r="C1251" s="128">
        <v>17646</v>
      </c>
      <c r="D1251" s="129">
        <f t="shared" si="21"/>
        <v>0.00818032415278247</v>
      </c>
    </row>
    <row r="1252" ht="14.25" customHeight="1" spans="2:4">
      <c r="B1252" s="136">
        <v>44474</v>
      </c>
      <c r="C1252" s="128">
        <v>17822.3</v>
      </c>
      <c r="D1252" s="129">
        <f t="shared" si="21"/>
        <v>-0.00989210146838504</v>
      </c>
    </row>
    <row r="1253" ht="14.25" customHeight="1" spans="2:4">
      <c r="B1253" s="136">
        <v>44473</v>
      </c>
      <c r="C1253" s="128">
        <v>17691.25</v>
      </c>
      <c r="D1253" s="129">
        <f t="shared" si="21"/>
        <v>0.00740761675969748</v>
      </c>
    </row>
    <row r="1254" ht="14.25" customHeight="1" spans="2:4">
      <c r="B1254" s="136">
        <v>44470</v>
      </c>
      <c r="C1254" s="128">
        <v>17532.05</v>
      </c>
      <c r="D1254" s="129">
        <f t="shared" si="21"/>
        <v>0.00908051254702102</v>
      </c>
    </row>
    <row r="1255" ht="14.25" customHeight="1" spans="2:4">
      <c r="B1255" s="136">
        <v>44469</v>
      </c>
      <c r="C1255" s="128">
        <v>17618.15</v>
      </c>
      <c r="D1255" s="129">
        <f t="shared" si="21"/>
        <v>-0.00488700572988665</v>
      </c>
    </row>
    <row r="1256" ht="14.25" customHeight="1" spans="2:4">
      <c r="B1256" s="136">
        <v>44468</v>
      </c>
      <c r="C1256" s="128">
        <v>17711.3</v>
      </c>
      <c r="D1256" s="129">
        <f t="shared" si="21"/>
        <v>-0.00525935419760248</v>
      </c>
    </row>
    <row r="1257" ht="14.25" customHeight="1" spans="2:4">
      <c r="B1257" s="136">
        <v>44467</v>
      </c>
      <c r="C1257" s="128">
        <v>17748.6</v>
      </c>
      <c r="D1257" s="129">
        <f t="shared" si="21"/>
        <v>-0.00210157420866997</v>
      </c>
    </row>
    <row r="1258" ht="14.25" customHeight="1" spans="2:4">
      <c r="B1258" s="136">
        <v>44466</v>
      </c>
      <c r="C1258" s="128">
        <v>17855.1</v>
      </c>
      <c r="D1258" s="129">
        <f t="shared" si="21"/>
        <v>-0.00596468235966197</v>
      </c>
    </row>
    <row r="1259" ht="14.25" customHeight="1" spans="2:4">
      <c r="B1259" s="136">
        <v>44463</v>
      </c>
      <c r="C1259" s="128">
        <v>17853.2</v>
      </c>
      <c r="D1259" s="129">
        <f t="shared" si="21"/>
        <v>0.000106423498308361</v>
      </c>
    </row>
    <row r="1260" ht="14.25" customHeight="1" spans="2:4">
      <c r="B1260" s="136">
        <v>44462</v>
      </c>
      <c r="C1260" s="128">
        <v>17822.95</v>
      </c>
      <c r="D1260" s="129">
        <f t="shared" si="21"/>
        <v>0.00169724989409725</v>
      </c>
    </row>
    <row r="1261" ht="14.25" customHeight="1" spans="2:4">
      <c r="B1261" s="136">
        <v>44461</v>
      </c>
      <c r="C1261" s="128">
        <v>17546.65</v>
      </c>
      <c r="D1261" s="129">
        <f t="shared" si="21"/>
        <v>0.0157465955039851</v>
      </c>
    </row>
    <row r="1262" ht="14.25" customHeight="1" spans="2:4">
      <c r="B1262" s="136">
        <v>44460</v>
      </c>
      <c r="C1262" s="128">
        <v>17562</v>
      </c>
      <c r="D1262" s="129">
        <f t="shared" si="21"/>
        <v>-0.000874046236191695</v>
      </c>
    </row>
    <row r="1263" ht="14.25" customHeight="1" spans="2:4">
      <c r="B1263" s="136">
        <v>44459</v>
      </c>
      <c r="C1263" s="128">
        <v>17396.9</v>
      </c>
      <c r="D1263" s="129">
        <f t="shared" si="21"/>
        <v>0.00949019652926664</v>
      </c>
    </row>
    <row r="1264" ht="14.25" customHeight="1" spans="2:4">
      <c r="B1264" s="136">
        <v>44456</v>
      </c>
      <c r="C1264" s="128">
        <v>17585.15</v>
      </c>
      <c r="D1264" s="129">
        <f t="shared" si="21"/>
        <v>-0.0107050551175282</v>
      </c>
    </row>
    <row r="1265" ht="14.25" customHeight="1" spans="2:4">
      <c r="B1265" s="136">
        <v>44455</v>
      </c>
      <c r="C1265" s="128">
        <v>17629.5</v>
      </c>
      <c r="D1265" s="129">
        <f t="shared" si="21"/>
        <v>-0.00251566975807582</v>
      </c>
    </row>
    <row r="1266" ht="14.25" customHeight="1" spans="2:4">
      <c r="B1266" s="136">
        <v>44454</v>
      </c>
      <c r="C1266" s="128">
        <v>17519.45</v>
      </c>
      <c r="D1266" s="129">
        <f t="shared" si="21"/>
        <v>0.00628158989009364</v>
      </c>
    </row>
    <row r="1267" ht="14.25" customHeight="1" spans="2:4">
      <c r="B1267" s="136">
        <v>44453</v>
      </c>
      <c r="C1267" s="128">
        <v>17380</v>
      </c>
      <c r="D1267" s="129">
        <f t="shared" si="21"/>
        <v>0.00802359033371691</v>
      </c>
    </row>
    <row r="1268" ht="14.25" customHeight="1" spans="2:4">
      <c r="B1268" s="136">
        <v>44452</v>
      </c>
      <c r="C1268" s="128">
        <v>17355.3</v>
      </c>
      <c r="D1268" s="129">
        <f t="shared" si="21"/>
        <v>0.00142319637228971</v>
      </c>
    </row>
    <row r="1269" ht="14.25" customHeight="1" spans="2:4">
      <c r="B1269" s="136">
        <v>44448</v>
      </c>
      <c r="C1269" s="128">
        <v>17369.25</v>
      </c>
      <c r="D1269" s="129">
        <f t="shared" si="21"/>
        <v>-0.000803143486333702</v>
      </c>
    </row>
    <row r="1270" ht="14.25" customHeight="1" spans="2:4">
      <c r="B1270" s="136">
        <v>44447</v>
      </c>
      <c r="C1270" s="128">
        <v>17353.5</v>
      </c>
      <c r="D1270" s="129">
        <f t="shared" si="21"/>
        <v>0.000907597890915435</v>
      </c>
    </row>
    <row r="1271" ht="14.25" customHeight="1" spans="2:4">
      <c r="B1271" s="136">
        <v>44446</v>
      </c>
      <c r="C1271" s="128">
        <v>17362.1</v>
      </c>
      <c r="D1271" s="129">
        <f t="shared" si="21"/>
        <v>-0.000495331785901443</v>
      </c>
    </row>
    <row r="1272" ht="14.25" customHeight="1" spans="2:4">
      <c r="B1272" s="136">
        <v>44445</v>
      </c>
      <c r="C1272" s="128">
        <v>17377.8</v>
      </c>
      <c r="D1272" s="129">
        <f t="shared" si="21"/>
        <v>-0.000903451530113175</v>
      </c>
    </row>
    <row r="1273" ht="14.25" customHeight="1" spans="2:4">
      <c r="B1273" s="136">
        <v>44442</v>
      </c>
      <c r="C1273" s="128">
        <v>17323.6</v>
      </c>
      <c r="D1273" s="129">
        <f t="shared" si="21"/>
        <v>0.00312867995104948</v>
      </c>
    </row>
    <row r="1274" ht="14.25" customHeight="1" spans="2:4">
      <c r="B1274" s="136">
        <v>44441</v>
      </c>
      <c r="C1274" s="128">
        <v>17234.15</v>
      </c>
      <c r="D1274" s="129">
        <f t="shared" si="21"/>
        <v>0.0051902762828453</v>
      </c>
    </row>
    <row r="1275" ht="14.25" customHeight="1" spans="2:4">
      <c r="B1275" s="136">
        <v>44440</v>
      </c>
      <c r="C1275" s="128">
        <v>17076.25</v>
      </c>
      <c r="D1275" s="129">
        <f t="shared" si="21"/>
        <v>0.00924676085206078</v>
      </c>
    </row>
    <row r="1276" ht="14.25" customHeight="1" spans="2:4">
      <c r="B1276" s="136">
        <v>44439</v>
      </c>
      <c r="C1276" s="128">
        <v>17132.2</v>
      </c>
      <c r="D1276" s="129">
        <f t="shared" si="21"/>
        <v>-0.00326578022670765</v>
      </c>
    </row>
    <row r="1277" ht="14.25" customHeight="1" spans="2:4">
      <c r="B1277" s="136">
        <v>44438</v>
      </c>
      <c r="C1277" s="128">
        <v>16931.05</v>
      </c>
      <c r="D1277" s="129">
        <f t="shared" si="21"/>
        <v>0.0118805390096894</v>
      </c>
    </row>
    <row r="1278" ht="14.25" customHeight="1" spans="2:4">
      <c r="B1278" s="136">
        <v>44435</v>
      </c>
      <c r="C1278" s="128">
        <v>16705.2</v>
      </c>
      <c r="D1278" s="129">
        <f t="shared" si="21"/>
        <v>0.0135197423556737</v>
      </c>
    </row>
    <row r="1279" ht="14.25" customHeight="1" spans="2:4">
      <c r="B1279" s="136">
        <v>44434</v>
      </c>
      <c r="C1279" s="128">
        <v>16636.9</v>
      </c>
      <c r="D1279" s="129">
        <f t="shared" si="21"/>
        <v>0.00410533212317188</v>
      </c>
    </row>
    <row r="1280" ht="14.25" customHeight="1" spans="2:4">
      <c r="B1280" s="136">
        <v>44433</v>
      </c>
      <c r="C1280" s="128">
        <v>16634.65</v>
      </c>
      <c r="D1280" s="129">
        <f t="shared" si="21"/>
        <v>0.00013525983414131</v>
      </c>
    </row>
    <row r="1281" ht="14.25" customHeight="1" spans="2:4">
      <c r="B1281" s="136">
        <v>44432</v>
      </c>
      <c r="C1281" s="128">
        <v>16624.6</v>
      </c>
      <c r="D1281" s="129">
        <f t="shared" si="21"/>
        <v>0.000604525823177937</v>
      </c>
    </row>
    <row r="1282" ht="14.25" customHeight="1" spans="2:4">
      <c r="B1282" s="136">
        <v>44431</v>
      </c>
      <c r="C1282" s="128">
        <v>16496.45</v>
      </c>
      <c r="D1282" s="129">
        <f t="shared" ref="D1282:D1345" si="22">C1281/C1282-1</f>
        <v>0.00776833803636534</v>
      </c>
    </row>
    <row r="1283" ht="14.25" customHeight="1" spans="2:4">
      <c r="B1283" s="136">
        <v>44428</v>
      </c>
      <c r="C1283" s="128">
        <v>16450.5</v>
      </c>
      <c r="D1283" s="129">
        <f t="shared" si="22"/>
        <v>0.00279322816935657</v>
      </c>
    </row>
    <row r="1284" ht="14.25" customHeight="1" spans="2:4">
      <c r="B1284" s="136">
        <v>44426</v>
      </c>
      <c r="C1284" s="128">
        <v>16568.85</v>
      </c>
      <c r="D1284" s="129">
        <f t="shared" si="22"/>
        <v>-0.00714292180809162</v>
      </c>
    </row>
    <row r="1285" ht="14.25" customHeight="1" spans="2:4">
      <c r="B1285" s="136">
        <v>44425</v>
      </c>
      <c r="C1285" s="128">
        <v>16614.6</v>
      </c>
      <c r="D1285" s="129">
        <f t="shared" si="22"/>
        <v>-0.00275360225343979</v>
      </c>
    </row>
    <row r="1286" ht="14.25" customHeight="1" spans="2:4">
      <c r="B1286" s="136">
        <v>44424</v>
      </c>
      <c r="C1286" s="128">
        <v>16563.05</v>
      </c>
      <c r="D1286" s="129">
        <f t="shared" si="22"/>
        <v>0.00311234947669647</v>
      </c>
    </row>
    <row r="1287" ht="14.25" customHeight="1" spans="2:4">
      <c r="B1287" s="136">
        <v>44421</v>
      </c>
      <c r="C1287" s="128">
        <v>16529.1</v>
      </c>
      <c r="D1287" s="129">
        <f t="shared" si="22"/>
        <v>0.00205395333079239</v>
      </c>
    </row>
    <row r="1288" ht="14.25" customHeight="1" spans="2:4">
      <c r="B1288" s="136">
        <v>44420</v>
      </c>
      <c r="C1288" s="128">
        <v>16364.4</v>
      </c>
      <c r="D1288" s="129">
        <f t="shared" si="22"/>
        <v>0.0100645303219182</v>
      </c>
    </row>
    <row r="1289" ht="14.25" customHeight="1" spans="2:4">
      <c r="B1289" s="136">
        <v>44419</v>
      </c>
      <c r="C1289" s="128">
        <v>16282.25</v>
      </c>
      <c r="D1289" s="129">
        <f t="shared" si="22"/>
        <v>0.00504537149349749</v>
      </c>
    </row>
    <row r="1290" ht="14.25" customHeight="1" spans="2:4">
      <c r="B1290" s="136">
        <v>44418</v>
      </c>
      <c r="C1290" s="128">
        <v>16280.1</v>
      </c>
      <c r="D1290" s="129">
        <f t="shared" si="22"/>
        <v>0.000132063070865662</v>
      </c>
    </row>
    <row r="1291" ht="14.25" customHeight="1" spans="2:4">
      <c r="B1291" s="136">
        <v>44417</v>
      </c>
      <c r="C1291" s="128">
        <v>16258.25</v>
      </c>
      <c r="D1291" s="129">
        <f t="shared" si="22"/>
        <v>0.00134393308012859</v>
      </c>
    </row>
    <row r="1292" ht="14.25" customHeight="1" spans="2:4">
      <c r="B1292" s="136">
        <v>44414</v>
      </c>
      <c r="C1292" s="128">
        <v>16238.2</v>
      </c>
      <c r="D1292" s="129">
        <f t="shared" si="22"/>
        <v>0.00123474276705537</v>
      </c>
    </row>
    <row r="1293" ht="14.25" customHeight="1" spans="2:4">
      <c r="B1293" s="136">
        <v>44413</v>
      </c>
      <c r="C1293" s="128">
        <v>16294.6</v>
      </c>
      <c r="D1293" s="129">
        <f t="shared" si="22"/>
        <v>-0.00346126937758517</v>
      </c>
    </row>
    <row r="1294" ht="14.25" customHeight="1" spans="2:4">
      <c r="B1294" s="136">
        <v>44412</v>
      </c>
      <c r="C1294" s="128">
        <v>16258.8</v>
      </c>
      <c r="D1294" s="129">
        <f t="shared" si="22"/>
        <v>0.00220188451792258</v>
      </c>
    </row>
    <row r="1295" ht="14.25" customHeight="1" spans="2:4">
      <c r="B1295" s="136">
        <v>44411</v>
      </c>
      <c r="C1295" s="128">
        <v>16130.75</v>
      </c>
      <c r="D1295" s="129">
        <f t="shared" si="22"/>
        <v>0.0079382545758877</v>
      </c>
    </row>
    <row r="1296" ht="14.25" customHeight="1" spans="2:4">
      <c r="B1296" s="136">
        <v>44410</v>
      </c>
      <c r="C1296" s="128">
        <v>15885.15</v>
      </c>
      <c r="D1296" s="129">
        <f t="shared" si="22"/>
        <v>0.0154609808531867</v>
      </c>
    </row>
    <row r="1297" ht="14.25" customHeight="1" spans="2:4">
      <c r="B1297" s="136">
        <v>44407</v>
      </c>
      <c r="C1297" s="128">
        <v>15763.05</v>
      </c>
      <c r="D1297" s="129">
        <f t="shared" si="22"/>
        <v>0.00774596286886098</v>
      </c>
    </row>
    <row r="1298" ht="14.25" customHeight="1" spans="2:4">
      <c r="B1298" s="136">
        <v>44406</v>
      </c>
      <c r="C1298" s="128">
        <v>15778.45</v>
      </c>
      <c r="D1298" s="129">
        <f t="shared" si="22"/>
        <v>-0.000976014754301091</v>
      </c>
    </row>
    <row r="1299" ht="14.25" customHeight="1" spans="2:4">
      <c r="B1299" s="136">
        <v>44405</v>
      </c>
      <c r="C1299" s="128">
        <v>15709.4</v>
      </c>
      <c r="D1299" s="129">
        <f t="shared" si="22"/>
        <v>0.00439545749678549</v>
      </c>
    </row>
    <row r="1300" ht="14.25" customHeight="1" spans="2:4">
      <c r="B1300" s="136">
        <v>44404</v>
      </c>
      <c r="C1300" s="128">
        <v>15746.45</v>
      </c>
      <c r="D1300" s="129">
        <f t="shared" si="22"/>
        <v>-0.00235291129111648</v>
      </c>
    </row>
    <row r="1301" ht="14.25" customHeight="1" spans="2:4">
      <c r="B1301" s="136">
        <v>44403</v>
      </c>
      <c r="C1301" s="128">
        <v>15824.45</v>
      </c>
      <c r="D1301" s="129">
        <f t="shared" si="22"/>
        <v>-0.00492908126348779</v>
      </c>
    </row>
    <row r="1302" ht="14.25" customHeight="1" spans="2:4">
      <c r="B1302" s="136">
        <v>44400</v>
      </c>
      <c r="C1302" s="128">
        <v>15856.05</v>
      </c>
      <c r="D1302" s="129">
        <f t="shared" si="22"/>
        <v>-0.00199293014338364</v>
      </c>
    </row>
    <row r="1303" ht="14.25" customHeight="1" spans="2:4">
      <c r="B1303" s="136">
        <v>44399</v>
      </c>
      <c r="C1303" s="128">
        <v>15824.05</v>
      </c>
      <c r="D1303" s="129">
        <f t="shared" si="22"/>
        <v>0.00202223830182535</v>
      </c>
    </row>
    <row r="1304" ht="14.25" customHeight="1" spans="2:4">
      <c r="B1304" s="136">
        <v>44397</v>
      </c>
      <c r="C1304" s="128">
        <v>15632.1</v>
      </c>
      <c r="D1304" s="129">
        <f t="shared" si="22"/>
        <v>0.0122792203222855</v>
      </c>
    </row>
    <row r="1305" ht="14.25" customHeight="1" spans="2:4">
      <c r="B1305" s="136">
        <v>44396</v>
      </c>
      <c r="C1305" s="128">
        <v>15752.4</v>
      </c>
      <c r="D1305" s="129">
        <f t="shared" si="22"/>
        <v>-0.00763693151519762</v>
      </c>
    </row>
    <row r="1306" ht="14.25" customHeight="1" spans="2:4">
      <c r="B1306" s="136">
        <v>44393</v>
      </c>
      <c r="C1306" s="128">
        <v>15923.4</v>
      </c>
      <c r="D1306" s="129">
        <f t="shared" si="22"/>
        <v>-0.0107389125438034</v>
      </c>
    </row>
    <row r="1307" ht="14.25" customHeight="1" spans="2:4">
      <c r="B1307" s="136">
        <v>44392</v>
      </c>
      <c r="C1307" s="128">
        <v>15924.2</v>
      </c>
      <c r="D1307" s="129">
        <f t="shared" si="22"/>
        <v>-5.02380025371174e-5</v>
      </c>
    </row>
    <row r="1308" ht="14.25" customHeight="1" spans="2:4">
      <c r="B1308" s="136">
        <v>44391</v>
      </c>
      <c r="C1308" s="128">
        <v>15853.95</v>
      </c>
      <c r="D1308" s="129">
        <f t="shared" si="22"/>
        <v>0.00443107238259244</v>
      </c>
    </row>
    <row r="1309" ht="14.25" customHeight="1" spans="2:4">
      <c r="B1309" s="136">
        <v>44390</v>
      </c>
      <c r="C1309" s="128">
        <v>15812.35</v>
      </c>
      <c r="D1309" s="129">
        <f t="shared" si="22"/>
        <v>0.00263085499625304</v>
      </c>
    </row>
    <row r="1310" ht="14.25" customHeight="1" spans="2:4">
      <c r="B1310" s="136">
        <v>44389</v>
      </c>
      <c r="C1310" s="128">
        <v>15692.6</v>
      </c>
      <c r="D1310" s="129">
        <f t="shared" si="22"/>
        <v>0.0076309853051757</v>
      </c>
    </row>
    <row r="1311" ht="14.25" customHeight="1" spans="2:4">
      <c r="B1311" s="136">
        <v>44386</v>
      </c>
      <c r="C1311" s="128">
        <v>15689.8</v>
      </c>
      <c r="D1311" s="129">
        <f t="shared" si="22"/>
        <v>0.000178459891139626</v>
      </c>
    </row>
    <row r="1312" ht="14.25" customHeight="1" spans="2:4">
      <c r="B1312" s="136">
        <v>44385</v>
      </c>
      <c r="C1312" s="128">
        <v>15727.9</v>
      </c>
      <c r="D1312" s="129">
        <f t="shared" si="22"/>
        <v>-0.00242244673478342</v>
      </c>
    </row>
    <row r="1313" ht="14.25" customHeight="1" spans="2:4">
      <c r="B1313" s="136">
        <v>44384</v>
      </c>
      <c r="C1313" s="128">
        <v>15879.65</v>
      </c>
      <c r="D1313" s="129">
        <f t="shared" si="22"/>
        <v>-0.00955625596282039</v>
      </c>
    </row>
    <row r="1314" ht="14.25" customHeight="1" spans="2:4">
      <c r="B1314" s="136">
        <v>44383</v>
      </c>
      <c r="C1314" s="128">
        <v>15818.25</v>
      </c>
      <c r="D1314" s="129">
        <f t="shared" si="22"/>
        <v>0.00388159246440023</v>
      </c>
    </row>
    <row r="1315" ht="14.25" customHeight="1" spans="2:4">
      <c r="B1315" s="136">
        <v>44382</v>
      </c>
      <c r="C1315" s="128">
        <v>15834.35</v>
      </c>
      <c r="D1315" s="129">
        <f t="shared" si="22"/>
        <v>-0.00101677681748857</v>
      </c>
    </row>
    <row r="1316" ht="14.25" customHeight="1" spans="2:4">
      <c r="B1316" s="136">
        <v>44379</v>
      </c>
      <c r="C1316" s="128">
        <v>15722.2</v>
      </c>
      <c r="D1316" s="129">
        <f t="shared" si="22"/>
        <v>0.00713322563000096</v>
      </c>
    </row>
    <row r="1317" ht="14.25" customHeight="1" spans="2:4">
      <c r="B1317" s="136">
        <v>44378</v>
      </c>
      <c r="C1317" s="128">
        <v>15680</v>
      </c>
      <c r="D1317" s="129">
        <f t="shared" si="22"/>
        <v>0.00269132653061233</v>
      </c>
    </row>
    <row r="1318" ht="14.25" customHeight="1" spans="2:4">
      <c r="B1318" s="136">
        <v>44377</v>
      </c>
      <c r="C1318" s="128">
        <v>15721.5</v>
      </c>
      <c r="D1318" s="129">
        <f t="shared" si="22"/>
        <v>-0.00263969722990809</v>
      </c>
    </row>
    <row r="1319" ht="14.25" customHeight="1" spans="2:4">
      <c r="B1319" s="136">
        <v>44376</v>
      </c>
      <c r="C1319" s="128">
        <v>15748.45</v>
      </c>
      <c r="D1319" s="129">
        <f t="shared" si="22"/>
        <v>-0.00171127952274674</v>
      </c>
    </row>
    <row r="1320" ht="14.25" customHeight="1" spans="2:4">
      <c r="B1320" s="136">
        <v>44375</v>
      </c>
      <c r="C1320" s="128">
        <v>15814.7</v>
      </c>
      <c r="D1320" s="129">
        <f t="shared" si="22"/>
        <v>-0.00418914048322128</v>
      </c>
    </row>
    <row r="1321" ht="14.25" customHeight="1" spans="2:4">
      <c r="B1321" s="136">
        <v>44372</v>
      </c>
      <c r="C1321" s="128">
        <v>15860.35</v>
      </c>
      <c r="D1321" s="129">
        <f t="shared" si="22"/>
        <v>-0.0028782466969518</v>
      </c>
    </row>
    <row r="1322" ht="14.25" customHeight="1" spans="2:4">
      <c r="B1322" s="136">
        <v>44371</v>
      </c>
      <c r="C1322" s="128">
        <v>15790.45</v>
      </c>
      <c r="D1322" s="129">
        <f t="shared" si="22"/>
        <v>0.00442672628075824</v>
      </c>
    </row>
    <row r="1323" ht="14.25" customHeight="1" spans="2:4">
      <c r="B1323" s="136">
        <v>44370</v>
      </c>
      <c r="C1323" s="128">
        <v>15686.95</v>
      </c>
      <c r="D1323" s="129">
        <f t="shared" si="22"/>
        <v>0.00659784088047699</v>
      </c>
    </row>
    <row r="1324" ht="14.25" customHeight="1" spans="2:4">
      <c r="B1324" s="136">
        <v>44369</v>
      </c>
      <c r="C1324" s="128">
        <v>15772.75</v>
      </c>
      <c r="D1324" s="129">
        <f t="shared" si="22"/>
        <v>-0.00543976161417625</v>
      </c>
    </row>
    <row r="1325" ht="14.25" customHeight="1" spans="2:4">
      <c r="B1325" s="136">
        <v>44368</v>
      </c>
      <c r="C1325" s="128">
        <v>15746.5</v>
      </c>
      <c r="D1325" s="129">
        <f t="shared" si="22"/>
        <v>0.00166703711935989</v>
      </c>
    </row>
    <row r="1326" ht="14.25" customHeight="1" spans="2:4">
      <c r="B1326" s="136">
        <v>44365</v>
      </c>
      <c r="C1326" s="128">
        <v>15683.35</v>
      </c>
      <c r="D1326" s="129">
        <f t="shared" si="22"/>
        <v>0.00402656320237704</v>
      </c>
    </row>
    <row r="1327" ht="14.25" customHeight="1" spans="2:4">
      <c r="B1327" s="136">
        <v>44364</v>
      </c>
      <c r="C1327" s="128">
        <v>15691.4</v>
      </c>
      <c r="D1327" s="129">
        <f t="shared" si="22"/>
        <v>-0.000513019870757137</v>
      </c>
    </row>
    <row r="1328" ht="14.25" customHeight="1" spans="2:4">
      <c r="B1328" s="136">
        <v>44363</v>
      </c>
      <c r="C1328" s="128">
        <v>15767.55</v>
      </c>
      <c r="D1328" s="129">
        <f t="shared" si="22"/>
        <v>-0.00482953914844098</v>
      </c>
    </row>
    <row r="1329" ht="14.25" customHeight="1" spans="2:4">
      <c r="B1329" s="136">
        <v>44362</v>
      </c>
      <c r="C1329" s="128">
        <v>15869.25</v>
      </c>
      <c r="D1329" s="129">
        <f t="shared" si="22"/>
        <v>-0.00640862044520063</v>
      </c>
    </row>
    <row r="1330" ht="14.25" customHeight="1" spans="2:4">
      <c r="B1330" s="136">
        <v>44361</v>
      </c>
      <c r="C1330" s="128">
        <v>15811.85</v>
      </c>
      <c r="D1330" s="129">
        <f t="shared" si="22"/>
        <v>0.00363018875084187</v>
      </c>
    </row>
    <row r="1331" ht="14.25" customHeight="1" spans="2:4">
      <c r="B1331" s="136">
        <v>44358</v>
      </c>
      <c r="C1331" s="128">
        <v>15799.35</v>
      </c>
      <c r="D1331" s="129">
        <f t="shared" si="22"/>
        <v>0.000791171788712797</v>
      </c>
    </row>
    <row r="1332" ht="14.25" customHeight="1" spans="2:4">
      <c r="B1332" s="136">
        <v>44357</v>
      </c>
      <c r="C1332" s="128">
        <v>15737.75</v>
      </c>
      <c r="D1332" s="129">
        <f t="shared" si="22"/>
        <v>0.00391415545424212</v>
      </c>
    </row>
    <row r="1333" ht="14.25" customHeight="1" spans="2:4">
      <c r="B1333" s="136">
        <v>44356</v>
      </c>
      <c r="C1333" s="128">
        <v>15635.35</v>
      </c>
      <c r="D1333" s="129">
        <f t="shared" si="22"/>
        <v>0.00654926176900417</v>
      </c>
    </row>
    <row r="1334" ht="14.25" customHeight="1" spans="2:4">
      <c r="B1334" s="136">
        <v>44355</v>
      </c>
      <c r="C1334" s="128">
        <v>15740.1</v>
      </c>
      <c r="D1334" s="129">
        <f t="shared" si="22"/>
        <v>-0.0066549767790548</v>
      </c>
    </row>
    <row r="1335" ht="14.25" customHeight="1" spans="2:4">
      <c r="B1335" s="136">
        <v>44354</v>
      </c>
      <c r="C1335" s="128">
        <v>15751.65</v>
      </c>
      <c r="D1335" s="129">
        <f t="shared" si="22"/>
        <v>-0.000733256515983993</v>
      </c>
    </row>
    <row r="1336" ht="14.25" customHeight="1" spans="2:4">
      <c r="B1336" s="136">
        <v>44351</v>
      </c>
      <c r="C1336" s="128">
        <v>15670.25</v>
      </c>
      <c r="D1336" s="129">
        <f t="shared" si="22"/>
        <v>0.00519455656418999</v>
      </c>
    </row>
    <row r="1337" ht="14.25" customHeight="1" spans="2:4">
      <c r="B1337" s="136">
        <v>44350</v>
      </c>
      <c r="C1337" s="128">
        <v>15690.35</v>
      </c>
      <c r="D1337" s="129">
        <f t="shared" si="22"/>
        <v>-0.00128104216923142</v>
      </c>
    </row>
    <row r="1338" ht="14.25" customHeight="1" spans="2:4">
      <c r="B1338" s="136">
        <v>44349</v>
      </c>
      <c r="C1338" s="128">
        <v>15576.2</v>
      </c>
      <c r="D1338" s="129">
        <f t="shared" si="22"/>
        <v>0.00732848833476707</v>
      </c>
    </row>
    <row r="1339" ht="14.25" customHeight="1" spans="2:4">
      <c r="B1339" s="136">
        <v>44348</v>
      </c>
      <c r="C1339" s="128">
        <v>15574.85</v>
      </c>
      <c r="D1339" s="129">
        <f t="shared" si="22"/>
        <v>8.66782023583035e-5</v>
      </c>
    </row>
    <row r="1340" ht="14.25" customHeight="1" spans="2:4">
      <c r="B1340" s="136">
        <v>44347</v>
      </c>
      <c r="C1340" s="128">
        <v>15582.8</v>
      </c>
      <c r="D1340" s="129">
        <f t="shared" si="22"/>
        <v>-0.000510177888440988</v>
      </c>
    </row>
    <row r="1341" ht="14.25" customHeight="1" spans="2:4">
      <c r="B1341" s="136">
        <v>44344</v>
      </c>
      <c r="C1341" s="128">
        <v>15435.65</v>
      </c>
      <c r="D1341" s="129">
        <f t="shared" si="22"/>
        <v>0.00953312623699043</v>
      </c>
    </row>
    <row r="1342" ht="14.25" customHeight="1" spans="2:4">
      <c r="B1342" s="136">
        <v>44343</v>
      </c>
      <c r="C1342" s="128">
        <v>15337.85</v>
      </c>
      <c r="D1342" s="129">
        <f t="shared" si="22"/>
        <v>0.00637638260903572</v>
      </c>
    </row>
    <row r="1343" ht="14.25" customHeight="1" spans="2:4">
      <c r="B1343" s="136">
        <v>44342</v>
      </c>
      <c r="C1343" s="128">
        <v>15301.45</v>
      </c>
      <c r="D1343" s="129">
        <f t="shared" si="22"/>
        <v>0.00237885951984951</v>
      </c>
    </row>
    <row r="1344" ht="14.25" customHeight="1" spans="2:4">
      <c r="B1344" s="136">
        <v>44341</v>
      </c>
      <c r="C1344" s="128">
        <v>15208.45</v>
      </c>
      <c r="D1344" s="129">
        <f t="shared" si="22"/>
        <v>0.00611502158339605</v>
      </c>
    </row>
    <row r="1345" ht="14.25" customHeight="1" spans="2:4">
      <c r="B1345" s="136">
        <v>44340</v>
      </c>
      <c r="C1345" s="128">
        <v>15197.7</v>
      </c>
      <c r="D1345" s="129">
        <f t="shared" si="22"/>
        <v>0.000707343874402078</v>
      </c>
    </row>
    <row r="1346" ht="14.25" customHeight="1" spans="2:4">
      <c r="B1346" s="136">
        <v>44337</v>
      </c>
      <c r="C1346" s="128">
        <v>15175.3</v>
      </c>
      <c r="D1346" s="129">
        <f t="shared" ref="D1346:D1409" si="23">C1345/C1346-1</f>
        <v>0.00147608284514988</v>
      </c>
    </row>
    <row r="1347" ht="14.25" customHeight="1" spans="2:4">
      <c r="B1347" s="136">
        <v>44336</v>
      </c>
      <c r="C1347" s="128">
        <v>14906.05</v>
      </c>
      <c r="D1347" s="129">
        <f t="shared" si="23"/>
        <v>0.0180631354382952</v>
      </c>
    </row>
    <row r="1348" ht="14.25" customHeight="1" spans="2:4">
      <c r="B1348" s="136">
        <v>44335</v>
      </c>
      <c r="C1348" s="128">
        <v>15030.15</v>
      </c>
      <c r="D1348" s="129">
        <f t="shared" si="23"/>
        <v>-0.00825673729137766</v>
      </c>
    </row>
    <row r="1349" ht="14.25" customHeight="1" spans="2:4">
      <c r="B1349" s="136">
        <v>44334</v>
      </c>
      <c r="C1349" s="128">
        <v>15108.1</v>
      </c>
      <c r="D1349" s="129">
        <f t="shared" si="23"/>
        <v>-0.00515948398541188</v>
      </c>
    </row>
    <row r="1350" ht="14.25" customHeight="1" spans="2:4">
      <c r="B1350" s="136">
        <v>44333</v>
      </c>
      <c r="C1350" s="128">
        <v>14923.15</v>
      </c>
      <c r="D1350" s="129">
        <f t="shared" si="23"/>
        <v>0.0123934960112309</v>
      </c>
    </row>
    <row r="1351" ht="14.25" customHeight="1" spans="2:4">
      <c r="B1351" s="136">
        <v>44330</v>
      </c>
      <c r="C1351" s="128">
        <v>14677.8</v>
      </c>
      <c r="D1351" s="129">
        <f t="shared" si="23"/>
        <v>0.0167157203395605</v>
      </c>
    </row>
    <row r="1352" ht="14.25" customHeight="1" spans="2:4">
      <c r="B1352" s="136">
        <v>44328</v>
      </c>
      <c r="C1352" s="128">
        <v>14696.5</v>
      </c>
      <c r="D1352" s="129">
        <f t="shared" si="23"/>
        <v>-0.00127241179872761</v>
      </c>
    </row>
    <row r="1353" ht="14.25" customHeight="1" spans="2:4">
      <c r="B1353" s="136">
        <v>44327</v>
      </c>
      <c r="C1353" s="128">
        <v>14850.75</v>
      </c>
      <c r="D1353" s="129">
        <f t="shared" si="23"/>
        <v>-0.0103866808073666</v>
      </c>
    </row>
    <row r="1354" ht="14.25" customHeight="1" spans="2:4">
      <c r="B1354" s="136">
        <v>44326</v>
      </c>
      <c r="C1354" s="128">
        <v>14942.35</v>
      </c>
      <c r="D1354" s="129">
        <f t="shared" si="23"/>
        <v>-0.00613022717310197</v>
      </c>
    </row>
    <row r="1355" ht="14.25" customHeight="1" spans="2:4">
      <c r="B1355" s="136">
        <v>44323</v>
      </c>
      <c r="C1355" s="128">
        <v>14823.15</v>
      </c>
      <c r="D1355" s="129">
        <f t="shared" si="23"/>
        <v>0.00804147566475422</v>
      </c>
    </row>
    <row r="1356" ht="14.25" customHeight="1" spans="2:4">
      <c r="B1356" s="136">
        <v>44322</v>
      </c>
      <c r="C1356" s="128">
        <v>14724.8</v>
      </c>
      <c r="D1356" s="129">
        <f t="shared" si="23"/>
        <v>0.00667920786699994</v>
      </c>
    </row>
    <row r="1357" ht="14.25" customHeight="1" spans="2:4">
      <c r="B1357" s="136">
        <v>44321</v>
      </c>
      <c r="C1357" s="128">
        <v>14617.85</v>
      </c>
      <c r="D1357" s="129">
        <f t="shared" si="23"/>
        <v>0.00731639741822487</v>
      </c>
    </row>
    <row r="1358" ht="14.25" customHeight="1" spans="2:4">
      <c r="B1358" s="136">
        <v>44320</v>
      </c>
      <c r="C1358" s="128">
        <v>14496.5</v>
      </c>
      <c r="D1358" s="129">
        <f t="shared" si="23"/>
        <v>0.00837098610009313</v>
      </c>
    </row>
    <row r="1359" ht="14.25" customHeight="1" spans="2:4">
      <c r="B1359" s="136">
        <v>44319</v>
      </c>
      <c r="C1359" s="128">
        <v>14634.15</v>
      </c>
      <c r="D1359" s="129">
        <f t="shared" si="23"/>
        <v>-0.00940608098181306</v>
      </c>
    </row>
    <row r="1360" ht="14.25" customHeight="1" spans="2:4">
      <c r="B1360" s="136">
        <v>44316</v>
      </c>
      <c r="C1360" s="128">
        <v>14631.1</v>
      </c>
      <c r="D1360" s="129">
        <f t="shared" si="23"/>
        <v>0.000208460061102755</v>
      </c>
    </row>
    <row r="1361" ht="14.25" customHeight="1" spans="2:4">
      <c r="B1361" s="136">
        <v>44315</v>
      </c>
      <c r="C1361" s="128">
        <v>14894.9</v>
      </c>
      <c r="D1361" s="129">
        <f t="shared" si="23"/>
        <v>-0.017710760058812</v>
      </c>
    </row>
    <row r="1362" ht="14.25" customHeight="1" spans="2:4">
      <c r="B1362" s="136">
        <v>44314</v>
      </c>
      <c r="C1362" s="128">
        <v>14864.55</v>
      </c>
      <c r="D1362" s="129">
        <f t="shared" si="23"/>
        <v>0.0020417705211393</v>
      </c>
    </row>
    <row r="1363" ht="14.25" customHeight="1" spans="2:4">
      <c r="B1363" s="136">
        <v>44313</v>
      </c>
      <c r="C1363" s="128">
        <v>14653.05</v>
      </c>
      <c r="D1363" s="129">
        <f t="shared" si="23"/>
        <v>0.0144338550677163</v>
      </c>
    </row>
    <row r="1364" ht="14.25" customHeight="1" spans="2:4">
      <c r="B1364" s="136">
        <v>44312</v>
      </c>
      <c r="C1364" s="128">
        <v>14485</v>
      </c>
      <c r="D1364" s="129">
        <f t="shared" si="23"/>
        <v>0.0116016568864341</v>
      </c>
    </row>
    <row r="1365" ht="14.25" customHeight="1" spans="2:4">
      <c r="B1365" s="136">
        <v>44309</v>
      </c>
      <c r="C1365" s="128">
        <v>14341.35</v>
      </c>
      <c r="D1365" s="129">
        <f t="shared" si="23"/>
        <v>0.0100164907766702</v>
      </c>
    </row>
    <row r="1366" ht="14.25" customHeight="1" spans="2:4">
      <c r="B1366" s="136">
        <v>44308</v>
      </c>
      <c r="C1366" s="128">
        <v>14406.15</v>
      </c>
      <c r="D1366" s="129">
        <f t="shared" si="23"/>
        <v>-0.00449807894545029</v>
      </c>
    </row>
    <row r="1367" ht="14.25" customHeight="1" spans="2:4">
      <c r="B1367" s="136">
        <v>44306</v>
      </c>
      <c r="C1367" s="128">
        <v>14296.4</v>
      </c>
      <c r="D1367" s="129">
        <f t="shared" si="23"/>
        <v>0.00767675778517662</v>
      </c>
    </row>
    <row r="1368" ht="14.25" customHeight="1" spans="2:4">
      <c r="B1368" s="136">
        <v>44305</v>
      </c>
      <c r="C1368" s="128">
        <v>14359.45</v>
      </c>
      <c r="D1368" s="129">
        <f t="shared" si="23"/>
        <v>-0.00439083669639162</v>
      </c>
    </row>
    <row r="1369" ht="14.25" customHeight="1" spans="2:4">
      <c r="B1369" s="136">
        <v>44302</v>
      </c>
      <c r="C1369" s="128">
        <v>14617.85</v>
      </c>
      <c r="D1369" s="129">
        <f t="shared" si="23"/>
        <v>-0.0176770181661462</v>
      </c>
    </row>
    <row r="1370" ht="14.25" customHeight="1" spans="2:4">
      <c r="B1370" s="136">
        <v>44301</v>
      </c>
      <c r="C1370" s="128">
        <v>14581.45</v>
      </c>
      <c r="D1370" s="129">
        <f t="shared" si="23"/>
        <v>0.00249632238220476</v>
      </c>
    </row>
    <row r="1371" ht="14.25" customHeight="1" spans="2:4">
      <c r="B1371" s="136">
        <v>44299</v>
      </c>
      <c r="C1371" s="128">
        <v>14504.8</v>
      </c>
      <c r="D1371" s="129">
        <f t="shared" si="23"/>
        <v>0.00528445755887708</v>
      </c>
    </row>
    <row r="1372" ht="14.25" customHeight="1" spans="2:4">
      <c r="B1372" s="136">
        <v>44298</v>
      </c>
      <c r="C1372" s="128">
        <v>14310.8</v>
      </c>
      <c r="D1372" s="129">
        <f t="shared" si="23"/>
        <v>0.0135561953210164</v>
      </c>
    </row>
    <row r="1373" ht="14.25" customHeight="1" spans="2:4">
      <c r="B1373" s="136">
        <v>44295</v>
      </c>
      <c r="C1373" s="128">
        <v>14834.85</v>
      </c>
      <c r="D1373" s="129">
        <f t="shared" si="23"/>
        <v>-0.0353256015396179</v>
      </c>
    </row>
    <row r="1374" ht="14.25" customHeight="1" spans="2:4">
      <c r="B1374" s="136">
        <v>44294</v>
      </c>
      <c r="C1374" s="128">
        <v>14873.8</v>
      </c>
      <c r="D1374" s="129">
        <f t="shared" si="23"/>
        <v>-0.0026186986513197</v>
      </c>
    </row>
    <row r="1375" ht="14.25" customHeight="1" spans="2:4">
      <c r="B1375" s="136">
        <v>44293</v>
      </c>
      <c r="C1375" s="128">
        <v>14819.05</v>
      </c>
      <c r="D1375" s="129">
        <f t="shared" si="23"/>
        <v>0.00369456881513996</v>
      </c>
    </row>
    <row r="1376" ht="14.25" customHeight="1" spans="2:4">
      <c r="B1376" s="136">
        <v>44292</v>
      </c>
      <c r="C1376" s="128">
        <v>14683.5</v>
      </c>
      <c r="D1376" s="129">
        <f t="shared" si="23"/>
        <v>0.00923145026730676</v>
      </c>
    </row>
    <row r="1377" ht="14.25" customHeight="1" spans="2:4">
      <c r="B1377" s="136">
        <v>44291</v>
      </c>
      <c r="C1377" s="128">
        <v>14637.8</v>
      </c>
      <c r="D1377" s="129">
        <f t="shared" si="23"/>
        <v>0.00312205386055298</v>
      </c>
    </row>
    <row r="1378" ht="14.25" customHeight="1" spans="2:4">
      <c r="B1378" s="136">
        <v>44287</v>
      </c>
      <c r="C1378" s="128">
        <v>14867.35</v>
      </c>
      <c r="D1378" s="129">
        <f t="shared" si="23"/>
        <v>-0.0154398732793672</v>
      </c>
    </row>
    <row r="1379" ht="14.25" customHeight="1" spans="2:4">
      <c r="B1379" s="136">
        <v>44286</v>
      </c>
      <c r="C1379" s="128">
        <v>14690.7</v>
      </c>
      <c r="D1379" s="129">
        <f t="shared" si="23"/>
        <v>0.0120246142117122</v>
      </c>
    </row>
    <row r="1380" ht="14.25" customHeight="1" spans="2:4">
      <c r="B1380" s="136">
        <v>44285</v>
      </c>
      <c r="C1380" s="128">
        <v>14845.1</v>
      </c>
      <c r="D1380" s="129">
        <f t="shared" si="23"/>
        <v>-0.0104007382907491</v>
      </c>
    </row>
    <row r="1381" ht="14.25" customHeight="1" spans="2:4">
      <c r="B1381" s="136">
        <v>44281</v>
      </c>
      <c r="C1381" s="128">
        <v>14507.3</v>
      </c>
      <c r="D1381" s="129">
        <f t="shared" si="23"/>
        <v>0.0232848290171157</v>
      </c>
    </row>
    <row r="1382" ht="14.25" customHeight="1" spans="2:4">
      <c r="B1382" s="136">
        <v>44280</v>
      </c>
      <c r="C1382" s="128">
        <v>14324.9</v>
      </c>
      <c r="D1382" s="129">
        <f t="shared" si="23"/>
        <v>0.0127330731802664</v>
      </c>
    </row>
    <row r="1383" ht="14.25" customHeight="1" spans="2:4">
      <c r="B1383" s="136">
        <v>44279</v>
      </c>
      <c r="C1383" s="128">
        <v>14549.4</v>
      </c>
      <c r="D1383" s="129">
        <f t="shared" si="23"/>
        <v>-0.0154301895610816</v>
      </c>
    </row>
    <row r="1384" ht="14.25" customHeight="1" spans="2:4">
      <c r="B1384" s="136">
        <v>44278</v>
      </c>
      <c r="C1384" s="128">
        <v>14814.75</v>
      </c>
      <c r="D1384" s="129">
        <f t="shared" si="23"/>
        <v>-0.0179112033615147</v>
      </c>
    </row>
    <row r="1385" ht="14.25" customHeight="1" spans="2:4">
      <c r="B1385" s="136">
        <v>44277</v>
      </c>
      <c r="C1385" s="128">
        <v>14736.4</v>
      </c>
      <c r="D1385" s="129">
        <f t="shared" si="23"/>
        <v>0.00531676664585645</v>
      </c>
    </row>
    <row r="1386" ht="14.25" customHeight="1" spans="2:4">
      <c r="B1386" s="136">
        <v>44274</v>
      </c>
      <c r="C1386" s="128">
        <v>14744</v>
      </c>
      <c r="D1386" s="129">
        <f t="shared" si="23"/>
        <v>-0.000515463917525771</v>
      </c>
    </row>
    <row r="1387" ht="14.25" customHeight="1" spans="2:4">
      <c r="B1387" s="136">
        <v>44273</v>
      </c>
      <c r="C1387" s="128">
        <v>14557.85</v>
      </c>
      <c r="D1387" s="129">
        <f t="shared" si="23"/>
        <v>0.0127869156503193</v>
      </c>
    </row>
    <row r="1388" ht="14.25" customHeight="1" spans="2:4">
      <c r="B1388" s="136">
        <v>44272</v>
      </c>
      <c r="C1388" s="128">
        <v>14721.3</v>
      </c>
      <c r="D1388" s="129">
        <f t="shared" si="23"/>
        <v>-0.0111029596570954</v>
      </c>
    </row>
    <row r="1389" ht="14.25" customHeight="1" spans="2:4">
      <c r="B1389" s="136">
        <v>44271</v>
      </c>
      <c r="C1389" s="128">
        <v>14910.45</v>
      </c>
      <c r="D1389" s="129">
        <f t="shared" si="23"/>
        <v>-0.012685733830971</v>
      </c>
    </row>
    <row r="1390" ht="14.25" customHeight="1" spans="2:4">
      <c r="B1390" s="136">
        <v>44270</v>
      </c>
      <c r="C1390" s="128">
        <v>14929.5</v>
      </c>
      <c r="D1390" s="129">
        <f t="shared" si="23"/>
        <v>-0.00127599718677784</v>
      </c>
    </row>
    <row r="1391" ht="14.25" customHeight="1" spans="2:4">
      <c r="B1391" s="136">
        <v>44267</v>
      </c>
      <c r="C1391" s="128">
        <v>15030.95</v>
      </c>
      <c r="D1391" s="129">
        <f t="shared" si="23"/>
        <v>-0.00674940705677296</v>
      </c>
    </row>
    <row r="1392" ht="14.25" customHeight="1" spans="2:4">
      <c r="B1392" s="136">
        <v>44265</v>
      </c>
      <c r="C1392" s="128">
        <v>15174.8</v>
      </c>
      <c r="D1392" s="129">
        <f t="shared" si="23"/>
        <v>-0.00947953185544448</v>
      </c>
    </row>
    <row r="1393" ht="14.25" customHeight="1" spans="2:4">
      <c r="B1393" s="136">
        <v>44264</v>
      </c>
      <c r="C1393" s="128">
        <v>15098.4</v>
      </c>
      <c r="D1393" s="129">
        <f t="shared" si="23"/>
        <v>0.00506013882265677</v>
      </c>
    </row>
    <row r="1394" ht="14.25" customHeight="1" spans="2:4">
      <c r="B1394" s="136">
        <v>44263</v>
      </c>
      <c r="C1394" s="128">
        <v>14956.2</v>
      </c>
      <c r="D1394" s="129">
        <f t="shared" si="23"/>
        <v>0.0095077626669875</v>
      </c>
    </row>
    <row r="1395" ht="14.25" customHeight="1" spans="2:4">
      <c r="B1395" s="136">
        <v>44260</v>
      </c>
      <c r="C1395" s="128">
        <v>14938.1</v>
      </c>
      <c r="D1395" s="129">
        <f t="shared" si="23"/>
        <v>0.0012116668117097</v>
      </c>
    </row>
    <row r="1396" ht="14.25" customHeight="1" spans="2:4">
      <c r="B1396" s="136">
        <v>44259</v>
      </c>
      <c r="C1396" s="128">
        <v>15080.75</v>
      </c>
      <c r="D1396" s="129">
        <f t="shared" si="23"/>
        <v>-0.00945907862672613</v>
      </c>
    </row>
    <row r="1397" ht="14.25" customHeight="1" spans="2:4">
      <c r="B1397" s="136">
        <v>44258</v>
      </c>
      <c r="C1397" s="128">
        <v>15245.6</v>
      </c>
      <c r="D1397" s="129">
        <f t="shared" si="23"/>
        <v>-0.0108129558692345</v>
      </c>
    </row>
    <row r="1398" ht="14.25" customHeight="1" spans="2:4">
      <c r="B1398" s="136">
        <v>44257</v>
      </c>
      <c r="C1398" s="128">
        <v>14919.1</v>
      </c>
      <c r="D1398" s="129">
        <f t="shared" si="23"/>
        <v>0.0218846981386276</v>
      </c>
    </row>
    <row r="1399" ht="14.25" customHeight="1" spans="2:4">
      <c r="B1399" s="136">
        <v>44256</v>
      </c>
      <c r="C1399" s="128">
        <v>14761.55</v>
      </c>
      <c r="D1399" s="129">
        <f t="shared" si="23"/>
        <v>0.0106729984317366</v>
      </c>
    </row>
    <row r="1400" ht="14.25" customHeight="1" spans="2:4">
      <c r="B1400" s="136">
        <v>44253</v>
      </c>
      <c r="C1400" s="128">
        <v>14529.15</v>
      </c>
      <c r="D1400" s="129">
        <f t="shared" si="23"/>
        <v>0.0159954298771778</v>
      </c>
    </row>
    <row r="1401" ht="14.25" customHeight="1" spans="2:4">
      <c r="B1401" s="136">
        <v>44252</v>
      </c>
      <c r="C1401" s="128">
        <v>15097.35</v>
      </c>
      <c r="D1401" s="129">
        <f t="shared" si="23"/>
        <v>-0.0376357440213018</v>
      </c>
    </row>
    <row r="1402" ht="14.25" customHeight="1" spans="2:4">
      <c r="B1402" s="136">
        <v>44251</v>
      </c>
      <c r="C1402" s="128">
        <v>14982</v>
      </c>
      <c r="D1402" s="129">
        <f t="shared" si="23"/>
        <v>0.0076992390869044</v>
      </c>
    </row>
    <row r="1403" ht="14.25" customHeight="1" spans="2:4">
      <c r="B1403" s="136">
        <v>44250</v>
      </c>
      <c r="C1403" s="128">
        <v>14707.8</v>
      </c>
      <c r="D1403" s="129">
        <f t="shared" si="23"/>
        <v>0.0186431689307716</v>
      </c>
    </row>
    <row r="1404" ht="14.25" customHeight="1" spans="2:4">
      <c r="B1404" s="136">
        <v>44249</v>
      </c>
      <c r="C1404" s="128">
        <v>14675.7</v>
      </c>
      <c r="D1404" s="129">
        <f t="shared" si="23"/>
        <v>0.00218728919233824</v>
      </c>
    </row>
    <row r="1405" ht="14.25" customHeight="1" spans="2:4">
      <c r="B1405" s="136">
        <v>44246</v>
      </c>
      <c r="C1405" s="128">
        <v>14981.75</v>
      </c>
      <c r="D1405" s="129">
        <f t="shared" si="23"/>
        <v>-0.020428187628281</v>
      </c>
    </row>
    <row r="1406" ht="14.25" customHeight="1" spans="2:4">
      <c r="B1406" s="136">
        <v>44245</v>
      </c>
      <c r="C1406" s="128">
        <v>15118.95</v>
      </c>
      <c r="D1406" s="129">
        <f t="shared" si="23"/>
        <v>-0.00907470426187007</v>
      </c>
    </row>
    <row r="1407" ht="14.25" customHeight="1" spans="2:4">
      <c r="B1407" s="136">
        <v>44244</v>
      </c>
      <c r="C1407" s="128">
        <v>15208.9</v>
      </c>
      <c r="D1407" s="129">
        <f t="shared" si="23"/>
        <v>-0.00591430017950012</v>
      </c>
    </row>
    <row r="1408" ht="14.25" customHeight="1" spans="2:4">
      <c r="B1408" s="136">
        <v>44243</v>
      </c>
      <c r="C1408" s="128">
        <v>15313.45</v>
      </c>
      <c r="D1408" s="129">
        <f t="shared" si="23"/>
        <v>-0.00682733152881954</v>
      </c>
    </row>
    <row r="1409" ht="14.25" customHeight="1" spans="2:4">
      <c r="B1409" s="136">
        <v>44242</v>
      </c>
      <c r="C1409" s="128">
        <v>15314.7</v>
      </c>
      <c r="D1409" s="129">
        <f t="shared" si="23"/>
        <v>-8.16209262995971e-5</v>
      </c>
    </row>
    <row r="1410" ht="14.25" customHeight="1" spans="2:4">
      <c r="B1410" s="136">
        <v>44239</v>
      </c>
      <c r="C1410" s="128">
        <v>15163.3</v>
      </c>
      <c r="D1410" s="129">
        <f t="shared" ref="D1410:D1473" si="24">C1409/C1410-1</f>
        <v>0.00998463395171245</v>
      </c>
    </row>
    <row r="1411" ht="14.25" customHeight="1" spans="2:4">
      <c r="B1411" s="136">
        <v>44238</v>
      </c>
      <c r="C1411" s="128">
        <v>15173.3</v>
      </c>
      <c r="D1411" s="129">
        <f t="shared" si="24"/>
        <v>-0.000659052414438532</v>
      </c>
    </row>
    <row r="1412" ht="14.25" customHeight="1" spans="2:4">
      <c r="B1412" s="136">
        <v>44237</v>
      </c>
      <c r="C1412" s="128">
        <v>15106.5</v>
      </c>
      <c r="D1412" s="129">
        <f t="shared" si="24"/>
        <v>0.00442193757653975</v>
      </c>
    </row>
    <row r="1413" ht="14.25" customHeight="1" spans="2:4">
      <c r="B1413" s="136">
        <v>44236</v>
      </c>
      <c r="C1413" s="128">
        <v>15109.3</v>
      </c>
      <c r="D1413" s="129">
        <f t="shared" si="24"/>
        <v>-0.000185316328354057</v>
      </c>
    </row>
    <row r="1414" ht="14.25" customHeight="1" spans="2:4">
      <c r="B1414" s="136">
        <v>44235</v>
      </c>
      <c r="C1414" s="128">
        <v>15115.8</v>
      </c>
      <c r="D1414" s="129">
        <f t="shared" si="24"/>
        <v>-0.000430013628124226</v>
      </c>
    </row>
    <row r="1415" ht="14.25" customHeight="1" spans="2:4">
      <c r="B1415" s="136">
        <v>44232</v>
      </c>
      <c r="C1415" s="128">
        <v>14924.25</v>
      </c>
      <c r="D1415" s="129">
        <f t="shared" si="24"/>
        <v>0.0128348158198903</v>
      </c>
    </row>
    <row r="1416" ht="14.25" customHeight="1" spans="2:4">
      <c r="B1416" s="136">
        <v>44231</v>
      </c>
      <c r="C1416" s="128">
        <v>14895.65</v>
      </c>
      <c r="D1416" s="129">
        <f t="shared" si="24"/>
        <v>0.00192002363106014</v>
      </c>
    </row>
    <row r="1417" ht="14.25" customHeight="1" spans="2:4">
      <c r="B1417" s="136">
        <v>44230</v>
      </c>
      <c r="C1417" s="128">
        <v>14789.95</v>
      </c>
      <c r="D1417" s="129">
        <f t="shared" si="24"/>
        <v>0.0071467449180016</v>
      </c>
    </row>
    <row r="1418" ht="14.25" customHeight="1" spans="2:4">
      <c r="B1418" s="136">
        <v>44229</v>
      </c>
      <c r="C1418" s="128">
        <v>14647.85</v>
      </c>
      <c r="D1418" s="129">
        <f t="shared" si="24"/>
        <v>0.00970108241141188</v>
      </c>
    </row>
    <row r="1419" ht="14.25" customHeight="1" spans="2:4">
      <c r="B1419" s="136">
        <v>44228</v>
      </c>
      <c r="C1419" s="128">
        <v>14281.2</v>
      </c>
      <c r="D1419" s="129">
        <f t="shared" si="24"/>
        <v>0.0256736128616644</v>
      </c>
    </row>
    <row r="1420" ht="14.25" customHeight="1" spans="2:4">
      <c r="B1420" s="136">
        <v>44225</v>
      </c>
      <c r="C1420" s="128">
        <v>13634.6</v>
      </c>
      <c r="D1420" s="129">
        <f t="shared" si="24"/>
        <v>0.0474234667683688</v>
      </c>
    </row>
    <row r="1421" ht="14.25" customHeight="1" spans="2:4">
      <c r="B1421" s="136">
        <v>44224</v>
      </c>
      <c r="C1421" s="128">
        <v>13817.55</v>
      </c>
      <c r="D1421" s="129">
        <f t="shared" si="24"/>
        <v>-0.0132404080318146</v>
      </c>
    </row>
    <row r="1422" ht="14.25" customHeight="1" spans="2:4">
      <c r="B1422" s="136">
        <v>44223</v>
      </c>
      <c r="C1422" s="128">
        <v>13967.5</v>
      </c>
      <c r="D1422" s="129">
        <f t="shared" si="24"/>
        <v>-0.0107356362985502</v>
      </c>
    </row>
    <row r="1423" ht="14.25" customHeight="1" spans="2:4">
      <c r="B1423" s="136">
        <v>44221</v>
      </c>
      <c r="C1423" s="128">
        <v>14238.9</v>
      </c>
      <c r="D1423" s="129">
        <f t="shared" si="24"/>
        <v>-0.0190604611311267</v>
      </c>
    </row>
    <row r="1424" ht="14.25" customHeight="1" spans="2:4">
      <c r="B1424" s="136">
        <v>44218</v>
      </c>
      <c r="C1424" s="128">
        <v>14371.9</v>
      </c>
      <c r="D1424" s="129">
        <f t="shared" si="24"/>
        <v>-0.00925416959483438</v>
      </c>
    </row>
    <row r="1425" ht="14.25" customHeight="1" spans="2:4">
      <c r="B1425" s="136">
        <v>44217</v>
      </c>
      <c r="C1425" s="128">
        <v>14590.35</v>
      </c>
      <c r="D1425" s="129">
        <f t="shared" si="24"/>
        <v>-0.0149722247924142</v>
      </c>
    </row>
    <row r="1426" ht="14.25" customHeight="1" spans="2:4">
      <c r="B1426" s="136">
        <v>44216</v>
      </c>
      <c r="C1426" s="128">
        <v>14644.7</v>
      </c>
      <c r="D1426" s="129">
        <f t="shared" si="24"/>
        <v>-0.00371124024391079</v>
      </c>
    </row>
    <row r="1427" ht="14.25" customHeight="1" spans="2:4">
      <c r="B1427" s="136">
        <v>44215</v>
      </c>
      <c r="C1427" s="128">
        <v>14521.15</v>
      </c>
      <c r="D1427" s="129">
        <f t="shared" si="24"/>
        <v>0.00850827930294784</v>
      </c>
    </row>
    <row r="1428" ht="14.25" customHeight="1" spans="2:4">
      <c r="B1428" s="136">
        <v>44214</v>
      </c>
      <c r="C1428" s="128">
        <v>14281.3</v>
      </c>
      <c r="D1428" s="129">
        <f t="shared" si="24"/>
        <v>0.0167946895590738</v>
      </c>
    </row>
    <row r="1429" ht="14.25" customHeight="1" spans="2:4">
      <c r="B1429" s="136">
        <v>44211</v>
      </c>
      <c r="C1429" s="128">
        <v>14433.7</v>
      </c>
      <c r="D1429" s="129">
        <f t="shared" si="24"/>
        <v>-0.0105586232220429</v>
      </c>
    </row>
    <row r="1430" ht="14.25" customHeight="1" spans="2:4">
      <c r="B1430" s="136">
        <v>44210</v>
      </c>
      <c r="C1430" s="128">
        <v>14595.6</v>
      </c>
      <c r="D1430" s="129">
        <f t="shared" si="24"/>
        <v>-0.0110923840061388</v>
      </c>
    </row>
    <row r="1431" ht="14.25" customHeight="1" spans="2:4">
      <c r="B1431" s="136">
        <v>44209</v>
      </c>
      <c r="C1431" s="128">
        <v>14564.85</v>
      </c>
      <c r="D1431" s="129">
        <f t="shared" si="24"/>
        <v>0.00211124728370016</v>
      </c>
    </row>
    <row r="1432" ht="14.25" customHeight="1" spans="2:4">
      <c r="B1432" s="136">
        <v>44208</v>
      </c>
      <c r="C1432" s="128">
        <v>14563.45</v>
      </c>
      <c r="D1432" s="129">
        <f t="shared" si="24"/>
        <v>9.61310678444516e-5</v>
      </c>
    </row>
    <row r="1433" ht="14.25" customHeight="1" spans="2:4">
      <c r="B1433" s="136">
        <v>44207</v>
      </c>
      <c r="C1433" s="128">
        <v>14484.75</v>
      </c>
      <c r="D1433" s="129">
        <f t="shared" si="24"/>
        <v>0.0054333005402234</v>
      </c>
    </row>
    <row r="1434" ht="14.25" customHeight="1" spans="2:4">
      <c r="B1434" s="136">
        <v>44204</v>
      </c>
      <c r="C1434" s="128">
        <v>14347.25</v>
      </c>
      <c r="D1434" s="129">
        <f t="shared" si="24"/>
        <v>0.00958371813413716</v>
      </c>
    </row>
    <row r="1435" ht="14.25" customHeight="1" spans="2:4">
      <c r="B1435" s="136">
        <v>44203</v>
      </c>
      <c r="C1435" s="128">
        <v>14137.35</v>
      </c>
      <c r="D1435" s="129">
        <f t="shared" si="24"/>
        <v>0.0148471955493781</v>
      </c>
    </row>
    <row r="1436" ht="14.25" customHeight="1" spans="2:4">
      <c r="B1436" s="136">
        <v>44202</v>
      </c>
      <c r="C1436" s="128">
        <v>14146.25</v>
      </c>
      <c r="D1436" s="129">
        <f t="shared" si="24"/>
        <v>-0.00062914199876285</v>
      </c>
    </row>
    <row r="1437" ht="14.25" customHeight="1" spans="2:4">
      <c r="B1437" s="136">
        <v>44201</v>
      </c>
      <c r="C1437" s="128">
        <v>14199.5</v>
      </c>
      <c r="D1437" s="129">
        <f t="shared" si="24"/>
        <v>-0.00375013204690311</v>
      </c>
    </row>
    <row r="1438" ht="14.25" customHeight="1" spans="2:4">
      <c r="B1438" s="136">
        <v>44200</v>
      </c>
      <c r="C1438" s="128">
        <v>14132.9</v>
      </c>
      <c r="D1438" s="129">
        <f t="shared" si="24"/>
        <v>0.00471240863517042</v>
      </c>
    </row>
    <row r="1439" ht="14.25" customHeight="1" spans="2:4">
      <c r="B1439" s="136">
        <v>44197</v>
      </c>
      <c r="C1439" s="128">
        <v>14018.5</v>
      </c>
      <c r="D1439" s="129">
        <f t="shared" si="24"/>
        <v>0.00816064486214652</v>
      </c>
    </row>
    <row r="1440" ht="14.25" customHeight="1" spans="2:4">
      <c r="B1440" s="136">
        <v>44196</v>
      </c>
      <c r="C1440" s="128">
        <v>13981.75</v>
      </c>
      <c r="D1440" s="129">
        <f t="shared" si="24"/>
        <v>0.00262842634148086</v>
      </c>
    </row>
    <row r="1441" ht="14.25" customHeight="1" spans="2:4">
      <c r="B1441" s="136">
        <v>44195</v>
      </c>
      <c r="C1441" s="128">
        <v>13981.95</v>
      </c>
      <c r="D1441" s="129">
        <f t="shared" si="24"/>
        <v>-1.43041564303337e-5</v>
      </c>
    </row>
    <row r="1442" ht="14.25" customHeight="1" spans="2:4">
      <c r="B1442" s="136">
        <v>44194</v>
      </c>
      <c r="C1442" s="128">
        <v>13932.6</v>
      </c>
      <c r="D1442" s="129">
        <f t="shared" si="24"/>
        <v>0.00354205245252137</v>
      </c>
    </row>
    <row r="1443" ht="14.25" customHeight="1" spans="2:4">
      <c r="B1443" s="136">
        <v>44193</v>
      </c>
      <c r="C1443" s="128">
        <v>13873.2</v>
      </c>
      <c r="D1443" s="129">
        <f t="shared" si="24"/>
        <v>0.00428163653663183</v>
      </c>
    </row>
    <row r="1444" ht="14.25" customHeight="1" spans="2:4">
      <c r="B1444" s="136">
        <v>44189</v>
      </c>
      <c r="C1444" s="128">
        <v>13749.25</v>
      </c>
      <c r="D1444" s="129">
        <f t="shared" si="24"/>
        <v>0.00901503718384644</v>
      </c>
    </row>
    <row r="1445" ht="14.25" customHeight="1" spans="2:4">
      <c r="B1445" s="136">
        <v>44188</v>
      </c>
      <c r="C1445" s="128">
        <v>13601.1</v>
      </c>
      <c r="D1445" s="129">
        <f t="shared" si="24"/>
        <v>0.0108925013418033</v>
      </c>
    </row>
    <row r="1446" ht="14.25" customHeight="1" spans="2:4">
      <c r="B1446" s="136">
        <v>44187</v>
      </c>
      <c r="C1446" s="128">
        <v>13466.3</v>
      </c>
      <c r="D1446" s="129">
        <f t="shared" si="24"/>
        <v>0.0100101735443292</v>
      </c>
    </row>
    <row r="1447" ht="14.25" customHeight="1" spans="2:4">
      <c r="B1447" s="136">
        <v>44186</v>
      </c>
      <c r="C1447" s="128">
        <v>13328.4</v>
      </c>
      <c r="D1447" s="129">
        <f t="shared" si="24"/>
        <v>0.0103463281414122</v>
      </c>
    </row>
    <row r="1448" ht="14.25" customHeight="1" spans="2:4">
      <c r="B1448" s="136">
        <v>44183</v>
      </c>
      <c r="C1448" s="128">
        <v>13760.55</v>
      </c>
      <c r="D1448" s="129">
        <f t="shared" si="24"/>
        <v>-0.0314049947131474</v>
      </c>
    </row>
    <row r="1449" ht="14.25" customHeight="1" spans="2:4">
      <c r="B1449" s="136">
        <v>44182</v>
      </c>
      <c r="C1449" s="128">
        <v>13740.7</v>
      </c>
      <c r="D1449" s="129">
        <f t="shared" si="24"/>
        <v>0.00144461344764091</v>
      </c>
    </row>
    <row r="1450" ht="14.25" customHeight="1" spans="2:4">
      <c r="B1450" s="136">
        <v>44181</v>
      </c>
      <c r="C1450" s="128">
        <v>13682.7</v>
      </c>
      <c r="D1450" s="129">
        <f t="shared" si="24"/>
        <v>0.00423892945105853</v>
      </c>
    </row>
    <row r="1451" ht="14.25" customHeight="1" spans="2:4">
      <c r="B1451" s="136">
        <v>44180</v>
      </c>
      <c r="C1451" s="128">
        <v>13567.85</v>
      </c>
      <c r="D1451" s="129">
        <f t="shared" si="24"/>
        <v>0.00846486362983079</v>
      </c>
    </row>
    <row r="1452" ht="14.25" customHeight="1" spans="2:4">
      <c r="B1452" s="136">
        <v>44179</v>
      </c>
      <c r="C1452" s="128">
        <v>13558.15</v>
      </c>
      <c r="D1452" s="129">
        <f t="shared" si="24"/>
        <v>0.000715436840571959</v>
      </c>
    </row>
    <row r="1453" ht="14.25" customHeight="1" spans="2:4">
      <c r="B1453" s="136">
        <v>44176</v>
      </c>
      <c r="C1453" s="128">
        <v>13513.85</v>
      </c>
      <c r="D1453" s="129">
        <f t="shared" si="24"/>
        <v>0.00327811837485248</v>
      </c>
    </row>
    <row r="1454" ht="14.25" customHeight="1" spans="2:4">
      <c r="B1454" s="136">
        <v>44175</v>
      </c>
      <c r="C1454" s="128">
        <v>13478.3</v>
      </c>
      <c r="D1454" s="129">
        <f t="shared" si="24"/>
        <v>0.00263757298769152</v>
      </c>
    </row>
    <row r="1455" ht="14.25" customHeight="1" spans="2:4">
      <c r="B1455" s="136">
        <v>44174</v>
      </c>
      <c r="C1455" s="128">
        <v>13529.1</v>
      </c>
      <c r="D1455" s="129">
        <f t="shared" si="24"/>
        <v>-0.00375486913394096</v>
      </c>
    </row>
    <row r="1456" ht="14.25" customHeight="1" spans="2:4">
      <c r="B1456" s="136">
        <v>44173</v>
      </c>
      <c r="C1456" s="128">
        <v>13392.95</v>
      </c>
      <c r="D1456" s="129">
        <f t="shared" si="24"/>
        <v>0.0101657961838131</v>
      </c>
    </row>
    <row r="1457" ht="14.25" customHeight="1" spans="2:4">
      <c r="B1457" s="136">
        <v>44172</v>
      </c>
      <c r="C1457" s="128">
        <v>13355.75</v>
      </c>
      <c r="D1457" s="129">
        <f t="shared" si="24"/>
        <v>0.00278531718548192</v>
      </c>
    </row>
    <row r="1458" ht="14.25" customHeight="1" spans="2:4">
      <c r="B1458" s="136">
        <v>44169</v>
      </c>
      <c r="C1458" s="128">
        <v>13258.55</v>
      </c>
      <c r="D1458" s="129">
        <f t="shared" si="24"/>
        <v>0.00733111841038436</v>
      </c>
    </row>
    <row r="1459" ht="14.25" customHeight="1" spans="2:4">
      <c r="B1459" s="136">
        <v>44168</v>
      </c>
      <c r="C1459" s="128">
        <v>13133.9</v>
      </c>
      <c r="D1459" s="129">
        <f t="shared" si="24"/>
        <v>0.00949070725374801</v>
      </c>
    </row>
    <row r="1460" ht="14.25" customHeight="1" spans="2:4">
      <c r="B1460" s="136">
        <v>44167</v>
      </c>
      <c r="C1460" s="128">
        <v>13113.75</v>
      </c>
      <c r="D1460" s="129">
        <f t="shared" si="24"/>
        <v>0.00153655514250306</v>
      </c>
    </row>
    <row r="1461" ht="14.25" customHeight="1" spans="2:4">
      <c r="B1461" s="136">
        <v>44166</v>
      </c>
      <c r="C1461" s="128">
        <v>13109.05</v>
      </c>
      <c r="D1461" s="129">
        <f t="shared" si="24"/>
        <v>0.000358530938550095</v>
      </c>
    </row>
    <row r="1462" ht="14.25" customHeight="1" spans="2:4">
      <c r="B1462" s="136">
        <v>44162</v>
      </c>
      <c r="C1462" s="128">
        <v>12968.95</v>
      </c>
      <c r="D1462" s="129">
        <f t="shared" si="24"/>
        <v>0.0108027249700244</v>
      </c>
    </row>
    <row r="1463" ht="14.25" customHeight="1" spans="2:4">
      <c r="B1463" s="136">
        <v>44161</v>
      </c>
      <c r="C1463" s="128">
        <v>12987</v>
      </c>
      <c r="D1463" s="129">
        <f t="shared" si="24"/>
        <v>-0.00138985138985137</v>
      </c>
    </row>
    <row r="1464" ht="14.25" customHeight="1" spans="2:4">
      <c r="B1464" s="136">
        <v>44160</v>
      </c>
      <c r="C1464" s="128">
        <v>12858.4</v>
      </c>
      <c r="D1464" s="129">
        <f t="shared" si="24"/>
        <v>0.0100012443227773</v>
      </c>
    </row>
    <row r="1465" ht="14.25" customHeight="1" spans="2:4">
      <c r="B1465" s="136">
        <v>44159</v>
      </c>
      <c r="C1465" s="128">
        <v>13055.15</v>
      </c>
      <c r="D1465" s="129">
        <f t="shared" si="24"/>
        <v>-0.0150706809190243</v>
      </c>
    </row>
    <row r="1466" ht="14.25" customHeight="1" spans="2:4">
      <c r="B1466" s="136">
        <v>44158</v>
      </c>
      <c r="C1466" s="128">
        <v>12926.45</v>
      </c>
      <c r="D1466" s="129">
        <f t="shared" si="24"/>
        <v>0.00995632985080963</v>
      </c>
    </row>
    <row r="1467" ht="14.25" customHeight="1" spans="2:4">
      <c r="B1467" s="136">
        <v>44155</v>
      </c>
      <c r="C1467" s="128">
        <v>12859.05</v>
      </c>
      <c r="D1467" s="129">
        <f t="shared" si="24"/>
        <v>0.00524144474125232</v>
      </c>
    </row>
    <row r="1468" ht="14.25" customHeight="1" spans="2:4">
      <c r="B1468" s="136">
        <v>44154</v>
      </c>
      <c r="C1468" s="128">
        <v>12771.7</v>
      </c>
      <c r="D1468" s="129">
        <f t="shared" si="24"/>
        <v>0.00683934010351006</v>
      </c>
    </row>
    <row r="1469" ht="14.25" customHeight="1" spans="2:4">
      <c r="B1469" s="136">
        <v>44153</v>
      </c>
      <c r="C1469" s="128">
        <v>12938.25</v>
      </c>
      <c r="D1469" s="129">
        <f t="shared" si="24"/>
        <v>-0.012872683709157</v>
      </c>
    </row>
    <row r="1470" ht="14.25" customHeight="1" spans="2:4">
      <c r="B1470" s="136">
        <v>44152</v>
      </c>
      <c r="C1470" s="128">
        <v>12874.2</v>
      </c>
      <c r="D1470" s="129">
        <f t="shared" si="24"/>
        <v>0.00497506641189349</v>
      </c>
    </row>
    <row r="1471" ht="14.25" customHeight="1" spans="2:4">
      <c r="B1471" s="136">
        <v>44149</v>
      </c>
      <c r="C1471" s="128">
        <v>12780.25</v>
      </c>
      <c r="D1471" s="129">
        <f t="shared" si="24"/>
        <v>0.00735118640089216</v>
      </c>
    </row>
    <row r="1472" ht="14.25" customHeight="1" spans="2:4">
      <c r="B1472" s="136">
        <v>44148</v>
      </c>
      <c r="C1472" s="128">
        <v>12719.95</v>
      </c>
      <c r="D1472" s="129">
        <f t="shared" si="24"/>
        <v>0.00474058467210958</v>
      </c>
    </row>
    <row r="1473" ht="14.25" customHeight="1" spans="2:4">
      <c r="B1473" s="136">
        <v>44147</v>
      </c>
      <c r="C1473" s="128">
        <v>12690.8</v>
      </c>
      <c r="D1473" s="129">
        <f t="shared" si="24"/>
        <v>0.00229693951523946</v>
      </c>
    </row>
    <row r="1474" ht="14.25" customHeight="1" spans="2:4">
      <c r="B1474" s="136">
        <v>44146</v>
      </c>
      <c r="C1474" s="128">
        <v>12749.15</v>
      </c>
      <c r="D1474" s="129">
        <f t="shared" ref="D1474:D1537" si="25">C1473/C1474-1</f>
        <v>-0.00457677570661574</v>
      </c>
    </row>
    <row r="1475" ht="14.25" customHeight="1" spans="2:4">
      <c r="B1475" s="136">
        <v>44145</v>
      </c>
      <c r="C1475" s="128">
        <v>12631.1</v>
      </c>
      <c r="D1475" s="129">
        <f t="shared" si="25"/>
        <v>0.00934597936838433</v>
      </c>
    </row>
    <row r="1476" ht="14.25" customHeight="1" spans="2:4">
      <c r="B1476" s="136">
        <v>44144</v>
      </c>
      <c r="C1476" s="128">
        <v>12461.05</v>
      </c>
      <c r="D1476" s="129">
        <f t="shared" si="25"/>
        <v>0.0136465225643105</v>
      </c>
    </row>
    <row r="1477" ht="14.25" customHeight="1" spans="2:4">
      <c r="B1477" s="136">
        <v>44141</v>
      </c>
      <c r="C1477" s="128">
        <v>12263.55</v>
      </c>
      <c r="D1477" s="129">
        <f t="shared" si="25"/>
        <v>0.0161046352809748</v>
      </c>
    </row>
    <row r="1478" ht="14.25" customHeight="1" spans="2:4">
      <c r="B1478" s="136">
        <v>44140</v>
      </c>
      <c r="C1478" s="128">
        <v>12120.3</v>
      </c>
      <c r="D1478" s="129">
        <f t="shared" si="25"/>
        <v>0.0118190143808321</v>
      </c>
    </row>
    <row r="1479" ht="14.25" customHeight="1" spans="2:4">
      <c r="B1479" s="136">
        <v>44139</v>
      </c>
      <c r="C1479" s="128">
        <v>11908.5</v>
      </c>
      <c r="D1479" s="129">
        <f t="shared" si="25"/>
        <v>0.0177856153167906</v>
      </c>
    </row>
    <row r="1480" ht="14.25" customHeight="1" spans="2:4">
      <c r="B1480" s="136">
        <v>44138</v>
      </c>
      <c r="C1480" s="128">
        <v>11813.5</v>
      </c>
      <c r="D1480" s="129">
        <f t="shared" si="25"/>
        <v>0.00804164726795609</v>
      </c>
    </row>
    <row r="1481" ht="14.25" customHeight="1" spans="2:4">
      <c r="B1481" s="136">
        <v>44137</v>
      </c>
      <c r="C1481" s="128">
        <v>11669.15</v>
      </c>
      <c r="D1481" s="129">
        <f t="shared" si="25"/>
        <v>0.0123702240523089</v>
      </c>
    </row>
    <row r="1482" ht="14.25" customHeight="1" spans="2:4">
      <c r="B1482" s="136">
        <v>44134</v>
      </c>
      <c r="C1482" s="128">
        <v>11642.4</v>
      </c>
      <c r="D1482" s="129">
        <f t="shared" si="25"/>
        <v>0.00229763622620771</v>
      </c>
    </row>
    <row r="1483" ht="14.25" customHeight="1" spans="2:4">
      <c r="B1483" s="136">
        <v>44133</v>
      </c>
      <c r="C1483" s="128">
        <v>11670.8</v>
      </c>
      <c r="D1483" s="129">
        <f t="shared" si="25"/>
        <v>-0.00243342358707199</v>
      </c>
    </row>
    <row r="1484" ht="14.25" customHeight="1" spans="2:4">
      <c r="B1484" s="136">
        <v>44132</v>
      </c>
      <c r="C1484" s="128">
        <v>11729.6</v>
      </c>
      <c r="D1484" s="129">
        <f t="shared" si="25"/>
        <v>-0.00501295866866736</v>
      </c>
    </row>
    <row r="1485" ht="14.25" customHeight="1" spans="2:4">
      <c r="B1485" s="136">
        <v>44131</v>
      </c>
      <c r="C1485" s="128">
        <v>11889.4</v>
      </c>
      <c r="D1485" s="129">
        <f t="shared" si="25"/>
        <v>-0.0134405436775614</v>
      </c>
    </row>
    <row r="1486" ht="14.25" customHeight="1" spans="2:4">
      <c r="B1486" s="136">
        <v>44130</v>
      </c>
      <c r="C1486" s="128">
        <v>11767.75</v>
      </c>
      <c r="D1486" s="129">
        <f t="shared" si="25"/>
        <v>0.0103375751524293</v>
      </c>
    </row>
    <row r="1487" ht="14.25" customHeight="1" spans="2:4">
      <c r="B1487" s="136">
        <v>44127</v>
      </c>
      <c r="C1487" s="128">
        <v>11930.35</v>
      </c>
      <c r="D1487" s="129">
        <f t="shared" si="25"/>
        <v>-0.0136291056004225</v>
      </c>
    </row>
    <row r="1488" ht="14.25" customHeight="1" spans="2:4">
      <c r="B1488" s="136">
        <v>44126</v>
      </c>
      <c r="C1488" s="128">
        <v>11896.45</v>
      </c>
      <c r="D1488" s="129">
        <f t="shared" si="25"/>
        <v>0.00284958958344705</v>
      </c>
    </row>
    <row r="1489" ht="14.25" customHeight="1" spans="2:4">
      <c r="B1489" s="136">
        <v>44125</v>
      </c>
      <c r="C1489" s="128">
        <v>11937.65</v>
      </c>
      <c r="D1489" s="129">
        <f t="shared" si="25"/>
        <v>-0.00345126553383612</v>
      </c>
    </row>
    <row r="1490" ht="14.25" customHeight="1" spans="2:4">
      <c r="B1490" s="136">
        <v>44124</v>
      </c>
      <c r="C1490" s="128">
        <v>11896.8</v>
      </c>
      <c r="D1490" s="129">
        <f t="shared" si="25"/>
        <v>0.00343369645618985</v>
      </c>
    </row>
    <row r="1491" ht="14.25" customHeight="1" spans="2:4">
      <c r="B1491" s="136">
        <v>44123</v>
      </c>
      <c r="C1491" s="128">
        <v>11873.05</v>
      </c>
      <c r="D1491" s="129">
        <f t="shared" si="25"/>
        <v>0.00200032847499165</v>
      </c>
    </row>
    <row r="1492" ht="14.25" customHeight="1" spans="2:4">
      <c r="B1492" s="136">
        <v>44120</v>
      </c>
      <c r="C1492" s="128">
        <v>11762.45</v>
      </c>
      <c r="D1492" s="129">
        <f t="shared" si="25"/>
        <v>0.00940280298747265</v>
      </c>
    </row>
    <row r="1493" ht="14.25" customHeight="1" spans="2:4">
      <c r="B1493" s="136">
        <v>44119</v>
      </c>
      <c r="C1493" s="128">
        <v>11680.35</v>
      </c>
      <c r="D1493" s="129">
        <f t="shared" si="25"/>
        <v>0.00702889896278802</v>
      </c>
    </row>
    <row r="1494" ht="14.25" customHeight="1" spans="2:4">
      <c r="B1494" s="136">
        <v>44118</v>
      </c>
      <c r="C1494" s="128">
        <v>11971.05</v>
      </c>
      <c r="D1494" s="129">
        <f t="shared" si="25"/>
        <v>-0.0242835841467539</v>
      </c>
    </row>
    <row r="1495" ht="14.25" customHeight="1" spans="2:4">
      <c r="B1495" s="136">
        <v>44117</v>
      </c>
      <c r="C1495" s="128">
        <v>11934.5</v>
      </c>
      <c r="D1495" s="129">
        <f t="shared" si="25"/>
        <v>0.00306254975072262</v>
      </c>
    </row>
    <row r="1496" ht="14.25" customHeight="1" spans="2:4">
      <c r="B1496" s="136">
        <v>44116</v>
      </c>
      <c r="C1496" s="128">
        <v>11930.95</v>
      </c>
      <c r="D1496" s="129">
        <f t="shared" si="25"/>
        <v>0.000297545459498227</v>
      </c>
    </row>
    <row r="1497" ht="14.25" customHeight="1" spans="2:4">
      <c r="B1497" s="136">
        <v>44113</v>
      </c>
      <c r="C1497" s="128">
        <v>11914.2</v>
      </c>
      <c r="D1497" s="129">
        <f t="shared" si="25"/>
        <v>0.00140588541404374</v>
      </c>
    </row>
    <row r="1498" ht="14.25" customHeight="1" spans="2:4">
      <c r="B1498" s="136">
        <v>44112</v>
      </c>
      <c r="C1498" s="128">
        <v>11834.6</v>
      </c>
      <c r="D1498" s="129">
        <f t="shared" si="25"/>
        <v>0.00672604059283799</v>
      </c>
    </row>
    <row r="1499" ht="14.25" customHeight="1" spans="2:4">
      <c r="B1499" s="136">
        <v>44111</v>
      </c>
      <c r="C1499" s="128">
        <v>11738.85</v>
      </c>
      <c r="D1499" s="129">
        <f t="shared" si="25"/>
        <v>0.00815667633541617</v>
      </c>
    </row>
    <row r="1500" ht="14.25" customHeight="1" spans="2:4">
      <c r="B1500" s="136">
        <v>44110</v>
      </c>
      <c r="C1500" s="128">
        <v>11662.4</v>
      </c>
      <c r="D1500" s="129">
        <f t="shared" si="25"/>
        <v>0.00655525449307182</v>
      </c>
    </row>
    <row r="1501" ht="14.25" customHeight="1" spans="2:4">
      <c r="B1501" s="136">
        <v>44109</v>
      </c>
      <c r="C1501" s="128">
        <v>11503.35</v>
      </c>
      <c r="D1501" s="129">
        <f t="shared" si="25"/>
        <v>0.0138264070901084</v>
      </c>
    </row>
    <row r="1502" ht="14.25" customHeight="1" spans="2:4">
      <c r="B1502" s="136">
        <v>44105</v>
      </c>
      <c r="C1502" s="128">
        <v>11416.95</v>
      </c>
      <c r="D1502" s="129">
        <f t="shared" si="25"/>
        <v>0.00756769540026014</v>
      </c>
    </row>
    <row r="1503" ht="14.25" customHeight="1" spans="2:4">
      <c r="B1503" s="136">
        <v>44104</v>
      </c>
      <c r="C1503" s="128">
        <v>11247.55</v>
      </c>
      <c r="D1503" s="129">
        <f t="shared" si="25"/>
        <v>0.0150610577414638</v>
      </c>
    </row>
    <row r="1504" ht="14.25" customHeight="1" spans="2:4">
      <c r="B1504" s="136">
        <v>44103</v>
      </c>
      <c r="C1504" s="128">
        <v>11222.4</v>
      </c>
      <c r="D1504" s="129">
        <f t="shared" si="25"/>
        <v>0.00224105360707161</v>
      </c>
    </row>
    <row r="1505" ht="14.25" customHeight="1" spans="2:4">
      <c r="B1505" s="136">
        <v>44102</v>
      </c>
      <c r="C1505" s="128">
        <v>11227.55</v>
      </c>
      <c r="D1505" s="129">
        <f t="shared" si="25"/>
        <v>-0.000458693125392373</v>
      </c>
    </row>
    <row r="1506" ht="14.25" customHeight="1" spans="2:4">
      <c r="B1506" s="136">
        <v>44099</v>
      </c>
      <c r="C1506" s="128">
        <v>11050.25</v>
      </c>
      <c r="D1506" s="129">
        <f t="shared" si="25"/>
        <v>0.0160448858623108</v>
      </c>
    </row>
    <row r="1507" ht="14.25" customHeight="1" spans="2:4">
      <c r="B1507" s="136">
        <v>44098</v>
      </c>
      <c r="C1507" s="128">
        <v>10805.55</v>
      </c>
      <c r="D1507" s="129">
        <f t="shared" si="25"/>
        <v>0.0226457699978253</v>
      </c>
    </row>
    <row r="1508" ht="14.25" customHeight="1" spans="2:4">
      <c r="B1508" s="136">
        <v>44097</v>
      </c>
      <c r="C1508" s="128">
        <v>11131.85</v>
      </c>
      <c r="D1508" s="129">
        <f t="shared" si="25"/>
        <v>-0.0293122886133034</v>
      </c>
    </row>
    <row r="1509" ht="14.25" customHeight="1" spans="2:4">
      <c r="B1509" s="136">
        <v>44096</v>
      </c>
      <c r="C1509" s="128">
        <v>11153.65</v>
      </c>
      <c r="D1509" s="129">
        <f t="shared" si="25"/>
        <v>-0.00195451713116324</v>
      </c>
    </row>
    <row r="1510" ht="14.25" customHeight="1" spans="2:4">
      <c r="B1510" s="136">
        <v>44095</v>
      </c>
      <c r="C1510" s="128">
        <v>11250.55</v>
      </c>
      <c r="D1510" s="129">
        <f t="shared" si="25"/>
        <v>-0.00861291225762295</v>
      </c>
    </row>
    <row r="1511" ht="14.25" customHeight="1" spans="2:4">
      <c r="B1511" s="136">
        <v>44092</v>
      </c>
      <c r="C1511" s="128">
        <v>11504.95</v>
      </c>
      <c r="D1511" s="129">
        <f t="shared" si="25"/>
        <v>-0.0221122212612833</v>
      </c>
    </row>
    <row r="1512" ht="14.25" customHeight="1" spans="2:4">
      <c r="B1512" s="136">
        <v>44091</v>
      </c>
      <c r="C1512" s="128">
        <v>11516.1</v>
      </c>
      <c r="D1512" s="129">
        <f t="shared" si="25"/>
        <v>-0.00096820972377798</v>
      </c>
    </row>
    <row r="1513" ht="14.25" customHeight="1" spans="2:4">
      <c r="B1513" s="136">
        <v>44090</v>
      </c>
      <c r="C1513" s="128">
        <v>11604.55</v>
      </c>
      <c r="D1513" s="129">
        <f t="shared" si="25"/>
        <v>-0.00762201033215415</v>
      </c>
    </row>
    <row r="1514" ht="14.25" customHeight="1" spans="2:4">
      <c r="B1514" s="136">
        <v>44089</v>
      </c>
      <c r="C1514" s="128">
        <v>11521.8</v>
      </c>
      <c r="D1514" s="129">
        <f t="shared" si="25"/>
        <v>0.00718203752885826</v>
      </c>
    </row>
    <row r="1515" ht="14.25" customHeight="1" spans="2:4">
      <c r="B1515" s="136">
        <v>44088</v>
      </c>
      <c r="C1515" s="128">
        <v>11440.05</v>
      </c>
      <c r="D1515" s="129">
        <f t="shared" si="25"/>
        <v>0.00714594778868971</v>
      </c>
    </row>
    <row r="1516" ht="14.25" customHeight="1" spans="2:4">
      <c r="B1516" s="136">
        <v>44085</v>
      </c>
      <c r="C1516" s="128">
        <v>11464.45</v>
      </c>
      <c r="D1516" s="129">
        <f t="shared" si="25"/>
        <v>-0.00212831841039052</v>
      </c>
    </row>
    <row r="1517" ht="14.25" customHeight="1" spans="2:4">
      <c r="B1517" s="136">
        <v>44084</v>
      </c>
      <c r="C1517" s="128">
        <v>11449.25</v>
      </c>
      <c r="D1517" s="129">
        <f t="shared" si="25"/>
        <v>0.0013275978775904</v>
      </c>
    </row>
    <row r="1518" ht="14.25" customHeight="1" spans="2:4">
      <c r="B1518" s="136">
        <v>44083</v>
      </c>
      <c r="C1518" s="128">
        <v>11278</v>
      </c>
      <c r="D1518" s="129">
        <f t="shared" si="25"/>
        <v>0.0151844298634509</v>
      </c>
    </row>
    <row r="1519" ht="14.25" customHeight="1" spans="2:4">
      <c r="B1519" s="136">
        <v>44082</v>
      </c>
      <c r="C1519" s="128">
        <v>11317.35</v>
      </c>
      <c r="D1519" s="129">
        <f t="shared" si="25"/>
        <v>-0.00347696236309736</v>
      </c>
    </row>
    <row r="1520" ht="14.25" customHeight="1" spans="2:4">
      <c r="B1520" s="136">
        <v>44081</v>
      </c>
      <c r="C1520" s="128">
        <v>11355.05</v>
      </c>
      <c r="D1520" s="129">
        <f t="shared" si="25"/>
        <v>-0.00332010867411403</v>
      </c>
    </row>
    <row r="1521" ht="14.25" customHeight="1" spans="2:4">
      <c r="B1521" s="136">
        <v>44078</v>
      </c>
      <c r="C1521" s="128">
        <v>11333.85</v>
      </c>
      <c r="D1521" s="129">
        <f t="shared" si="25"/>
        <v>0.00187050296236491</v>
      </c>
    </row>
    <row r="1522" ht="14.25" customHeight="1" spans="2:4">
      <c r="B1522" s="136">
        <v>44077</v>
      </c>
      <c r="C1522" s="128">
        <v>11527.45</v>
      </c>
      <c r="D1522" s="129">
        <f t="shared" si="25"/>
        <v>-0.016794694403359</v>
      </c>
    </row>
    <row r="1523" ht="14.25" customHeight="1" spans="2:4">
      <c r="B1523" s="136">
        <v>44076</v>
      </c>
      <c r="C1523" s="128">
        <v>11535</v>
      </c>
      <c r="D1523" s="129">
        <f t="shared" si="25"/>
        <v>-0.000654529692240891</v>
      </c>
    </row>
    <row r="1524" ht="14.25" customHeight="1" spans="2:4">
      <c r="B1524" s="136">
        <v>44075</v>
      </c>
      <c r="C1524" s="128">
        <v>11470.25</v>
      </c>
      <c r="D1524" s="129">
        <f t="shared" si="25"/>
        <v>0.00564503825112794</v>
      </c>
    </row>
    <row r="1525" ht="14.25" customHeight="1" spans="2:4">
      <c r="B1525" s="136">
        <v>44074</v>
      </c>
      <c r="C1525" s="128">
        <v>11387.5</v>
      </c>
      <c r="D1525" s="129">
        <f t="shared" si="25"/>
        <v>0.00726673984632265</v>
      </c>
    </row>
    <row r="1526" ht="14.25" customHeight="1" spans="2:4">
      <c r="B1526" s="136">
        <v>44071</v>
      </c>
      <c r="C1526" s="128">
        <v>11647.6</v>
      </c>
      <c r="D1526" s="129">
        <f t="shared" si="25"/>
        <v>-0.0223307805899928</v>
      </c>
    </row>
    <row r="1527" ht="14.25" customHeight="1" spans="2:4">
      <c r="B1527" s="136">
        <v>44070</v>
      </c>
      <c r="C1527" s="128">
        <v>11559.25</v>
      </c>
      <c r="D1527" s="129">
        <f t="shared" si="25"/>
        <v>0.00764322944827733</v>
      </c>
    </row>
    <row r="1528" ht="14.25" customHeight="1" spans="2:4">
      <c r="B1528" s="136">
        <v>44069</v>
      </c>
      <c r="C1528" s="128">
        <v>11549.6</v>
      </c>
      <c r="D1528" s="129">
        <f t="shared" si="25"/>
        <v>0.000835526771489903</v>
      </c>
    </row>
    <row r="1529" ht="14.25" customHeight="1" spans="2:4">
      <c r="B1529" s="136">
        <v>44068</v>
      </c>
      <c r="C1529" s="128">
        <v>11472.25</v>
      </c>
      <c r="D1529" s="129">
        <f t="shared" si="25"/>
        <v>0.00674235655603739</v>
      </c>
    </row>
    <row r="1530" ht="14.25" customHeight="1" spans="2:4">
      <c r="B1530" s="136">
        <v>44067</v>
      </c>
      <c r="C1530" s="128">
        <v>11466.45</v>
      </c>
      <c r="D1530" s="129">
        <f t="shared" si="25"/>
        <v>0.000505823511200099</v>
      </c>
    </row>
    <row r="1531" ht="14.25" customHeight="1" spans="2:4">
      <c r="B1531" s="136">
        <v>44064</v>
      </c>
      <c r="C1531" s="128">
        <v>11371.6</v>
      </c>
      <c r="D1531" s="129">
        <f t="shared" si="25"/>
        <v>0.008340954658975</v>
      </c>
    </row>
    <row r="1532" ht="14.25" customHeight="1" spans="2:4">
      <c r="B1532" s="136">
        <v>44063</v>
      </c>
      <c r="C1532" s="128">
        <v>11312.2</v>
      </c>
      <c r="D1532" s="129">
        <f t="shared" si="25"/>
        <v>0.0052509679814714</v>
      </c>
    </row>
    <row r="1533" ht="14.25" customHeight="1" spans="2:4">
      <c r="B1533" s="136">
        <v>44062</v>
      </c>
      <c r="C1533" s="128">
        <v>11408.4</v>
      </c>
      <c r="D1533" s="129">
        <f t="shared" si="25"/>
        <v>-0.00843238315627071</v>
      </c>
    </row>
    <row r="1534" ht="14.25" customHeight="1" spans="2:4">
      <c r="B1534" s="136">
        <v>44061</v>
      </c>
      <c r="C1534" s="128">
        <v>11385.35</v>
      </c>
      <c r="D1534" s="129">
        <f t="shared" si="25"/>
        <v>0.00202453152516169</v>
      </c>
    </row>
    <row r="1535" ht="14.25" customHeight="1" spans="2:4">
      <c r="B1535" s="136">
        <v>44060</v>
      </c>
      <c r="C1535" s="128">
        <v>11247.1</v>
      </c>
      <c r="D1535" s="129">
        <f t="shared" si="25"/>
        <v>0.0122920575081578</v>
      </c>
    </row>
    <row r="1536" ht="14.25" customHeight="1" spans="2:4">
      <c r="B1536" s="136">
        <v>44057</v>
      </c>
      <c r="C1536" s="128">
        <v>11178.4</v>
      </c>
      <c r="D1536" s="129">
        <f t="shared" si="25"/>
        <v>0.00614578114935949</v>
      </c>
    </row>
    <row r="1537" ht="14.25" customHeight="1" spans="2:4">
      <c r="B1537" s="136">
        <v>44056</v>
      </c>
      <c r="C1537" s="128">
        <v>11300.45</v>
      </c>
      <c r="D1537" s="129">
        <f t="shared" si="25"/>
        <v>-0.0108004548491433</v>
      </c>
    </row>
    <row r="1538" ht="14.25" customHeight="1" spans="2:4">
      <c r="B1538" s="136">
        <v>44055</v>
      </c>
      <c r="C1538" s="128">
        <v>11308.4</v>
      </c>
      <c r="D1538" s="129">
        <f t="shared" ref="D1538:D1601" si="26">C1537/C1538-1</f>
        <v>-0.000703017226132641</v>
      </c>
    </row>
    <row r="1539" ht="14.25" customHeight="1" spans="2:4">
      <c r="B1539" s="136">
        <v>44054</v>
      </c>
      <c r="C1539" s="128">
        <v>11322.5</v>
      </c>
      <c r="D1539" s="129">
        <f t="shared" si="26"/>
        <v>-0.00124530801501443</v>
      </c>
    </row>
    <row r="1540" ht="14.25" customHeight="1" spans="2:4">
      <c r="B1540" s="136">
        <v>44053</v>
      </c>
      <c r="C1540" s="128">
        <v>11270.15</v>
      </c>
      <c r="D1540" s="129">
        <f t="shared" si="26"/>
        <v>0.00464501359786706</v>
      </c>
    </row>
    <row r="1541" ht="14.25" customHeight="1" spans="2:4">
      <c r="B1541" s="136">
        <v>44050</v>
      </c>
      <c r="C1541" s="128">
        <v>11214.05</v>
      </c>
      <c r="D1541" s="129">
        <f t="shared" si="26"/>
        <v>0.00500265292200419</v>
      </c>
    </row>
    <row r="1542" ht="14.25" customHeight="1" spans="2:4">
      <c r="B1542" s="136">
        <v>44049</v>
      </c>
      <c r="C1542" s="128">
        <v>11200.15</v>
      </c>
      <c r="D1542" s="129">
        <f t="shared" si="26"/>
        <v>0.00124105480730163</v>
      </c>
    </row>
    <row r="1543" ht="14.25" customHeight="1" spans="2:4">
      <c r="B1543" s="136">
        <v>44048</v>
      </c>
      <c r="C1543" s="128">
        <v>11101.65</v>
      </c>
      <c r="D1543" s="129">
        <f t="shared" si="26"/>
        <v>0.00887255498056594</v>
      </c>
    </row>
    <row r="1544" ht="14.25" customHeight="1" spans="2:4">
      <c r="B1544" s="136">
        <v>44047</v>
      </c>
      <c r="C1544" s="128">
        <v>11095.25</v>
      </c>
      <c r="D1544" s="129">
        <f t="shared" si="26"/>
        <v>0.000576823415425531</v>
      </c>
    </row>
    <row r="1545" ht="14.25" customHeight="1" spans="2:4">
      <c r="B1545" s="136">
        <v>44046</v>
      </c>
      <c r="C1545" s="128">
        <v>10891.6</v>
      </c>
      <c r="D1545" s="129">
        <f t="shared" si="26"/>
        <v>0.0186978956259869</v>
      </c>
    </row>
    <row r="1546" ht="14.25" customHeight="1" spans="2:4">
      <c r="B1546" s="136">
        <v>44043</v>
      </c>
      <c r="C1546" s="128">
        <v>11073.45</v>
      </c>
      <c r="D1546" s="129">
        <f t="shared" si="26"/>
        <v>-0.0164221629212216</v>
      </c>
    </row>
    <row r="1547" ht="14.25" customHeight="1" spans="2:4">
      <c r="B1547" s="136">
        <v>44042</v>
      </c>
      <c r="C1547" s="128">
        <v>11102.15</v>
      </c>
      <c r="D1547" s="129">
        <f t="shared" si="26"/>
        <v>-0.00258508487094833</v>
      </c>
    </row>
    <row r="1548" ht="14.25" customHeight="1" spans="2:4">
      <c r="B1548" s="136">
        <v>44041</v>
      </c>
      <c r="C1548" s="128">
        <v>11202.85</v>
      </c>
      <c r="D1548" s="129">
        <f t="shared" si="26"/>
        <v>-0.00898878410404502</v>
      </c>
    </row>
    <row r="1549" ht="14.25" customHeight="1" spans="2:4">
      <c r="B1549" s="136">
        <v>44040</v>
      </c>
      <c r="C1549" s="128">
        <v>11300.55</v>
      </c>
      <c r="D1549" s="129">
        <f t="shared" si="26"/>
        <v>-0.00864559689572619</v>
      </c>
    </row>
    <row r="1550" ht="14.25" customHeight="1" spans="2:4">
      <c r="B1550" s="136">
        <v>44039</v>
      </c>
      <c r="C1550" s="128">
        <v>11131.8</v>
      </c>
      <c r="D1550" s="129">
        <f t="shared" si="26"/>
        <v>0.015159273432868</v>
      </c>
    </row>
    <row r="1551" ht="14.25" customHeight="1" spans="2:4">
      <c r="B1551" s="136">
        <v>44036</v>
      </c>
      <c r="C1551" s="128">
        <v>11194.15</v>
      </c>
      <c r="D1551" s="129">
        <f t="shared" si="26"/>
        <v>-0.00556987355002392</v>
      </c>
    </row>
    <row r="1552" ht="14.25" customHeight="1" spans="2:4">
      <c r="B1552" s="136">
        <v>44035</v>
      </c>
      <c r="C1552" s="128">
        <v>11215.45</v>
      </c>
      <c r="D1552" s="129">
        <f t="shared" si="26"/>
        <v>-0.00189916588277783</v>
      </c>
    </row>
    <row r="1553" ht="14.25" customHeight="1" spans="2:4">
      <c r="B1553" s="136">
        <v>44034</v>
      </c>
      <c r="C1553" s="128">
        <v>11132.6</v>
      </c>
      <c r="D1553" s="129">
        <f t="shared" si="26"/>
        <v>0.00744210696512937</v>
      </c>
    </row>
    <row r="1554" ht="14.25" customHeight="1" spans="2:4">
      <c r="B1554" s="136">
        <v>44033</v>
      </c>
      <c r="C1554" s="128">
        <v>11162.25</v>
      </c>
      <c r="D1554" s="129">
        <f t="shared" si="26"/>
        <v>-0.0026562744966292</v>
      </c>
    </row>
    <row r="1555" ht="14.25" customHeight="1" spans="2:4">
      <c r="B1555" s="136">
        <v>44032</v>
      </c>
      <c r="C1555" s="128">
        <v>11022.2</v>
      </c>
      <c r="D1555" s="129">
        <f t="shared" si="26"/>
        <v>0.0127061748108361</v>
      </c>
    </row>
    <row r="1556" ht="14.25" customHeight="1" spans="2:4">
      <c r="B1556" s="136">
        <v>44029</v>
      </c>
      <c r="C1556" s="128">
        <v>10901.7</v>
      </c>
      <c r="D1556" s="129">
        <f t="shared" si="26"/>
        <v>0.0110533219589606</v>
      </c>
    </row>
    <row r="1557" ht="14.25" customHeight="1" spans="2:4">
      <c r="B1557" s="136">
        <v>44028</v>
      </c>
      <c r="C1557" s="128">
        <v>10739.95</v>
      </c>
      <c r="D1557" s="129">
        <f t="shared" si="26"/>
        <v>0.0150605915297557</v>
      </c>
    </row>
    <row r="1558" ht="14.25" customHeight="1" spans="2:4">
      <c r="B1558" s="136">
        <v>44027</v>
      </c>
      <c r="C1558" s="128">
        <v>10618.2</v>
      </c>
      <c r="D1558" s="129">
        <f t="shared" si="26"/>
        <v>0.0114661618730105</v>
      </c>
    </row>
    <row r="1559" ht="14.25" customHeight="1" spans="2:4">
      <c r="B1559" s="136">
        <v>44026</v>
      </c>
      <c r="C1559" s="128">
        <v>10607.35</v>
      </c>
      <c r="D1559" s="129">
        <f t="shared" si="26"/>
        <v>0.00102287564754633</v>
      </c>
    </row>
    <row r="1560" ht="14.25" customHeight="1" spans="2:4">
      <c r="B1560" s="136">
        <v>44025</v>
      </c>
      <c r="C1560" s="128">
        <v>10802.7</v>
      </c>
      <c r="D1560" s="129">
        <f t="shared" si="26"/>
        <v>-0.0180834421024374</v>
      </c>
    </row>
    <row r="1561" ht="14.25" customHeight="1" spans="2:4">
      <c r="B1561" s="136">
        <v>44022</v>
      </c>
      <c r="C1561" s="128">
        <v>10768.05</v>
      </c>
      <c r="D1561" s="129">
        <f t="shared" si="26"/>
        <v>0.00321785281457654</v>
      </c>
    </row>
    <row r="1562" ht="14.25" customHeight="1" spans="2:4">
      <c r="B1562" s="136">
        <v>44021</v>
      </c>
      <c r="C1562" s="128">
        <v>10813.45</v>
      </c>
      <c r="D1562" s="129">
        <f t="shared" si="26"/>
        <v>-0.00419847504727922</v>
      </c>
    </row>
    <row r="1563" ht="14.25" customHeight="1" spans="2:4">
      <c r="B1563" s="136">
        <v>44020</v>
      </c>
      <c r="C1563" s="128">
        <v>10705.75</v>
      </c>
      <c r="D1563" s="129">
        <f t="shared" si="26"/>
        <v>0.010060014478201</v>
      </c>
    </row>
    <row r="1564" ht="14.25" customHeight="1" spans="2:4">
      <c r="B1564" s="136">
        <v>44019</v>
      </c>
      <c r="C1564" s="128">
        <v>10799.65</v>
      </c>
      <c r="D1564" s="129">
        <f t="shared" si="26"/>
        <v>-0.00869472621797929</v>
      </c>
    </row>
    <row r="1565" ht="14.25" customHeight="1" spans="2:4">
      <c r="B1565" s="136">
        <v>44018</v>
      </c>
      <c r="C1565" s="128">
        <v>10763.65</v>
      </c>
      <c r="D1565" s="129">
        <f t="shared" si="26"/>
        <v>0.00334459035736012</v>
      </c>
    </row>
    <row r="1566" ht="14.25" customHeight="1" spans="2:4">
      <c r="B1566" s="136">
        <v>44015</v>
      </c>
      <c r="C1566" s="128">
        <v>10607.35</v>
      </c>
      <c r="D1566" s="129">
        <f t="shared" si="26"/>
        <v>0.0147350657798602</v>
      </c>
    </row>
    <row r="1567" ht="14.25" customHeight="1" spans="2:4">
      <c r="B1567" s="136">
        <v>44014</v>
      </c>
      <c r="C1567" s="128">
        <v>10551.7</v>
      </c>
      <c r="D1567" s="129">
        <f t="shared" si="26"/>
        <v>0.00527403167262142</v>
      </c>
    </row>
    <row r="1568" ht="14.25" customHeight="1" spans="2:4">
      <c r="B1568" s="136">
        <v>44013</v>
      </c>
      <c r="C1568" s="128">
        <v>10430.05</v>
      </c>
      <c r="D1568" s="129">
        <f t="shared" si="26"/>
        <v>0.0116634148446078</v>
      </c>
    </row>
    <row r="1569" ht="14.25" customHeight="1" spans="2:4">
      <c r="B1569" s="136">
        <v>44012</v>
      </c>
      <c r="C1569" s="128">
        <v>10302.1</v>
      </c>
      <c r="D1569" s="129">
        <f t="shared" si="26"/>
        <v>0.0124197979052814</v>
      </c>
    </row>
    <row r="1570" ht="14.25" customHeight="1" spans="2:4">
      <c r="B1570" s="136">
        <v>44011</v>
      </c>
      <c r="C1570" s="128">
        <v>10312.4</v>
      </c>
      <c r="D1570" s="129">
        <f t="shared" si="26"/>
        <v>-0.000998797564097487</v>
      </c>
    </row>
    <row r="1571" ht="14.25" customHeight="1" spans="2:4">
      <c r="B1571" s="136">
        <v>44008</v>
      </c>
      <c r="C1571" s="128">
        <v>10383</v>
      </c>
      <c r="D1571" s="129">
        <f t="shared" si="26"/>
        <v>-0.00679957623037664</v>
      </c>
    </row>
    <row r="1572" ht="14.25" customHeight="1" spans="2:4">
      <c r="B1572" s="136">
        <v>44007</v>
      </c>
      <c r="C1572" s="128">
        <v>10288.9</v>
      </c>
      <c r="D1572" s="129">
        <f t="shared" si="26"/>
        <v>0.00914577846028242</v>
      </c>
    </row>
    <row r="1573" ht="14.25" customHeight="1" spans="2:4">
      <c r="B1573" s="136">
        <v>44006</v>
      </c>
      <c r="C1573" s="128">
        <v>10305.3</v>
      </c>
      <c r="D1573" s="129">
        <f t="shared" si="26"/>
        <v>-0.00159141412671149</v>
      </c>
    </row>
    <row r="1574" ht="14.25" customHeight="1" spans="2:4">
      <c r="B1574" s="136">
        <v>44005</v>
      </c>
      <c r="C1574" s="128">
        <v>10471</v>
      </c>
      <c r="D1574" s="129">
        <f t="shared" si="26"/>
        <v>-0.0158246585808424</v>
      </c>
    </row>
    <row r="1575" ht="14.25" customHeight="1" spans="2:4">
      <c r="B1575" s="136">
        <v>44004</v>
      </c>
      <c r="C1575" s="128">
        <v>10311.2</v>
      </c>
      <c r="D1575" s="129">
        <f t="shared" si="26"/>
        <v>0.0154977112266272</v>
      </c>
    </row>
    <row r="1576" ht="14.25" customHeight="1" spans="2:4">
      <c r="B1576" s="136">
        <v>44001</v>
      </c>
      <c r="C1576" s="128">
        <v>10244.4</v>
      </c>
      <c r="D1576" s="129">
        <f t="shared" si="26"/>
        <v>0.00652063566436301</v>
      </c>
    </row>
    <row r="1577" ht="14.25" customHeight="1" spans="2:4">
      <c r="B1577" s="136">
        <v>44000</v>
      </c>
      <c r="C1577" s="128">
        <v>10091.65</v>
      </c>
      <c r="D1577" s="129">
        <f t="shared" si="26"/>
        <v>0.0151362760301834</v>
      </c>
    </row>
    <row r="1578" ht="14.25" customHeight="1" spans="2:4">
      <c r="B1578" s="136">
        <v>43999</v>
      </c>
      <c r="C1578" s="128">
        <v>9881.15</v>
      </c>
      <c r="D1578" s="129">
        <f t="shared" si="26"/>
        <v>0.0213031883940635</v>
      </c>
    </row>
    <row r="1579" ht="14.25" customHeight="1" spans="2:4">
      <c r="B1579" s="136">
        <v>43998</v>
      </c>
      <c r="C1579" s="128">
        <v>9914</v>
      </c>
      <c r="D1579" s="129">
        <f t="shared" si="26"/>
        <v>-0.00331349606616904</v>
      </c>
    </row>
    <row r="1580" ht="14.25" customHeight="1" spans="2:4">
      <c r="B1580" s="136">
        <v>43997</v>
      </c>
      <c r="C1580" s="128">
        <v>9813.7</v>
      </c>
      <c r="D1580" s="129">
        <f t="shared" si="26"/>
        <v>0.0102204061668891</v>
      </c>
    </row>
    <row r="1581" ht="14.25" customHeight="1" spans="2:4">
      <c r="B1581" s="136">
        <v>43994</v>
      </c>
      <c r="C1581" s="128">
        <v>9972.9</v>
      </c>
      <c r="D1581" s="129">
        <f t="shared" si="26"/>
        <v>-0.0159632604357809</v>
      </c>
    </row>
    <row r="1582" ht="14.25" customHeight="1" spans="2:4">
      <c r="B1582" s="136">
        <v>43993</v>
      </c>
      <c r="C1582" s="128">
        <v>9902</v>
      </c>
      <c r="D1582" s="129">
        <f t="shared" si="26"/>
        <v>0.00716016966269439</v>
      </c>
    </row>
    <row r="1583" ht="14.25" customHeight="1" spans="2:4">
      <c r="B1583" s="136">
        <v>43992</v>
      </c>
      <c r="C1583" s="128">
        <v>10116.15</v>
      </c>
      <c r="D1583" s="129">
        <f t="shared" si="26"/>
        <v>-0.0211691206634935</v>
      </c>
    </row>
    <row r="1584" ht="14.25" customHeight="1" spans="2:4">
      <c r="B1584" s="136">
        <v>43991</v>
      </c>
      <c r="C1584" s="128">
        <v>10046.65</v>
      </c>
      <c r="D1584" s="129">
        <f t="shared" si="26"/>
        <v>0.0069177287951705</v>
      </c>
    </row>
    <row r="1585" ht="14.25" customHeight="1" spans="2:4">
      <c r="B1585" s="136">
        <v>43990</v>
      </c>
      <c r="C1585" s="128">
        <v>10167.45</v>
      </c>
      <c r="D1585" s="129">
        <f t="shared" si="26"/>
        <v>-0.0118810517878132</v>
      </c>
    </row>
    <row r="1586" ht="14.25" customHeight="1" spans="2:4">
      <c r="B1586" s="136">
        <v>43987</v>
      </c>
      <c r="C1586" s="128">
        <v>10142.15</v>
      </c>
      <c r="D1586" s="129">
        <f t="shared" si="26"/>
        <v>0.00249454011230377</v>
      </c>
    </row>
    <row r="1587" ht="14.25" customHeight="1" spans="2:4">
      <c r="B1587" s="136">
        <v>43986</v>
      </c>
      <c r="C1587" s="128">
        <v>10029.1</v>
      </c>
      <c r="D1587" s="129">
        <f t="shared" si="26"/>
        <v>0.0112721979040991</v>
      </c>
    </row>
    <row r="1588" ht="14.25" customHeight="1" spans="2:4">
      <c r="B1588" s="136">
        <v>43985</v>
      </c>
      <c r="C1588" s="128">
        <v>10061.55</v>
      </c>
      <c r="D1588" s="129">
        <f t="shared" si="26"/>
        <v>-0.00322514920663308</v>
      </c>
    </row>
    <row r="1589" ht="14.25" customHeight="1" spans="2:4">
      <c r="B1589" s="136">
        <v>43984</v>
      </c>
      <c r="C1589" s="128">
        <v>9979.1</v>
      </c>
      <c r="D1589" s="129">
        <f t="shared" si="26"/>
        <v>0.00826226814041342</v>
      </c>
    </row>
    <row r="1590" ht="14.25" customHeight="1" spans="2:4">
      <c r="B1590" s="136">
        <v>43983</v>
      </c>
      <c r="C1590" s="128">
        <v>9826.15</v>
      </c>
      <c r="D1590" s="129">
        <f t="shared" si="26"/>
        <v>0.0155656080967623</v>
      </c>
    </row>
    <row r="1591" ht="14.25" customHeight="1" spans="2:4">
      <c r="B1591" s="136">
        <v>43980</v>
      </c>
      <c r="C1591" s="128">
        <v>9580.3</v>
      </c>
      <c r="D1591" s="129">
        <f t="shared" si="26"/>
        <v>0.0256620356356274</v>
      </c>
    </row>
    <row r="1592" ht="14.25" customHeight="1" spans="2:4">
      <c r="B1592" s="136">
        <v>43979</v>
      </c>
      <c r="C1592" s="128">
        <v>9490.1</v>
      </c>
      <c r="D1592" s="129">
        <f t="shared" si="26"/>
        <v>0.00950464167922349</v>
      </c>
    </row>
    <row r="1593" ht="14.25" customHeight="1" spans="2:4">
      <c r="B1593" s="136">
        <v>43978</v>
      </c>
      <c r="C1593" s="128">
        <v>9314.95</v>
      </c>
      <c r="D1593" s="129">
        <f t="shared" si="26"/>
        <v>0.0188031068336383</v>
      </c>
    </row>
    <row r="1594" ht="14.25" customHeight="1" spans="2:4">
      <c r="B1594" s="136">
        <v>43977</v>
      </c>
      <c r="C1594" s="128">
        <v>9029.05</v>
      </c>
      <c r="D1594" s="129">
        <f t="shared" si="26"/>
        <v>0.0316644608236749</v>
      </c>
    </row>
    <row r="1595" ht="14.25" customHeight="1" spans="2:4">
      <c r="B1595" s="136">
        <v>43973</v>
      </c>
      <c r="C1595" s="128">
        <v>9039.25</v>
      </c>
      <c r="D1595" s="129">
        <f t="shared" si="26"/>
        <v>-0.00112841220233983</v>
      </c>
    </row>
    <row r="1596" ht="14.25" customHeight="1" spans="2:4">
      <c r="B1596" s="136">
        <v>43972</v>
      </c>
      <c r="C1596" s="128">
        <v>9106.25</v>
      </c>
      <c r="D1596" s="129">
        <f t="shared" si="26"/>
        <v>-0.00735758407687026</v>
      </c>
    </row>
    <row r="1597" ht="14.25" customHeight="1" spans="2:4">
      <c r="B1597" s="136">
        <v>43971</v>
      </c>
      <c r="C1597" s="128">
        <v>9066.55</v>
      </c>
      <c r="D1597" s="129">
        <f t="shared" si="26"/>
        <v>0.00437873281457679</v>
      </c>
    </row>
    <row r="1598" ht="14.25" customHeight="1" spans="2:4">
      <c r="B1598" s="136">
        <v>43970</v>
      </c>
      <c r="C1598" s="128">
        <v>8879.1</v>
      </c>
      <c r="D1598" s="129">
        <f t="shared" si="26"/>
        <v>0.0211113739005078</v>
      </c>
    </row>
    <row r="1599" ht="14.25" customHeight="1" spans="2:4">
      <c r="B1599" s="136">
        <v>43969</v>
      </c>
      <c r="C1599" s="128">
        <v>8823.25</v>
      </c>
      <c r="D1599" s="129">
        <f t="shared" si="26"/>
        <v>0.00632986711245853</v>
      </c>
    </row>
    <row r="1600" ht="14.25" customHeight="1" spans="2:4">
      <c r="B1600" s="136">
        <v>43966</v>
      </c>
      <c r="C1600" s="128">
        <v>9136.85</v>
      </c>
      <c r="D1600" s="129">
        <f t="shared" si="26"/>
        <v>-0.0343225509885793</v>
      </c>
    </row>
    <row r="1601" ht="14.25" customHeight="1" spans="2:4">
      <c r="B1601" s="136">
        <v>43965</v>
      </c>
      <c r="C1601" s="128">
        <v>9142.75</v>
      </c>
      <c r="D1601" s="129">
        <f t="shared" si="26"/>
        <v>-0.000645320062344412</v>
      </c>
    </row>
    <row r="1602" ht="14.25" customHeight="1" spans="2:4">
      <c r="B1602" s="136">
        <v>43964</v>
      </c>
      <c r="C1602" s="128">
        <v>9383.55</v>
      </c>
      <c r="D1602" s="129">
        <f t="shared" ref="D1602:D1665" si="27">C1601/C1602-1</f>
        <v>-0.0256619296534892</v>
      </c>
    </row>
    <row r="1603" ht="14.25" customHeight="1" spans="2:4">
      <c r="B1603" s="136">
        <v>43963</v>
      </c>
      <c r="C1603" s="128">
        <v>9196.55</v>
      </c>
      <c r="D1603" s="129">
        <f t="shared" si="27"/>
        <v>0.0203337120985587</v>
      </c>
    </row>
    <row r="1604" ht="14.25" customHeight="1" spans="2:4">
      <c r="B1604" s="136">
        <v>43962</v>
      </c>
      <c r="C1604" s="128">
        <v>9239.2</v>
      </c>
      <c r="D1604" s="129">
        <f t="shared" si="27"/>
        <v>-0.0046162005368432</v>
      </c>
    </row>
    <row r="1605" ht="14.25" customHeight="1" spans="2:4">
      <c r="B1605" s="136">
        <v>43959</v>
      </c>
      <c r="C1605" s="128">
        <v>9251.5</v>
      </c>
      <c r="D1605" s="129">
        <f t="shared" si="27"/>
        <v>-0.00132951413284321</v>
      </c>
    </row>
    <row r="1606" ht="14.25" customHeight="1" spans="2:4">
      <c r="B1606" s="136">
        <v>43958</v>
      </c>
      <c r="C1606" s="128">
        <v>9199.05</v>
      </c>
      <c r="D1606" s="129">
        <f t="shared" si="27"/>
        <v>0.00570167571651425</v>
      </c>
    </row>
    <row r="1607" ht="14.25" customHeight="1" spans="2:4">
      <c r="B1607" s="136">
        <v>43957</v>
      </c>
      <c r="C1607" s="128">
        <v>9270.9</v>
      </c>
      <c r="D1607" s="129">
        <f t="shared" si="27"/>
        <v>-0.00775005662880635</v>
      </c>
    </row>
    <row r="1608" ht="14.25" customHeight="1" spans="2:4">
      <c r="B1608" s="136">
        <v>43956</v>
      </c>
      <c r="C1608" s="128">
        <v>9205.6</v>
      </c>
      <c r="D1608" s="129">
        <f t="shared" si="27"/>
        <v>0.007093508299296</v>
      </c>
    </row>
    <row r="1609" ht="14.25" customHeight="1" spans="2:4">
      <c r="B1609" s="136">
        <v>43955</v>
      </c>
      <c r="C1609" s="128">
        <v>9293.5</v>
      </c>
      <c r="D1609" s="129">
        <f t="shared" si="27"/>
        <v>-0.00945822348953562</v>
      </c>
    </row>
    <row r="1610" ht="14.25" customHeight="1" spans="2:4">
      <c r="B1610" s="136">
        <v>43951</v>
      </c>
      <c r="C1610" s="128">
        <v>9859.9</v>
      </c>
      <c r="D1610" s="129">
        <f t="shared" si="27"/>
        <v>-0.0574448016714165</v>
      </c>
    </row>
    <row r="1611" ht="14.25" customHeight="1" spans="2:4">
      <c r="B1611" s="136">
        <v>43950</v>
      </c>
      <c r="C1611" s="128">
        <v>9553.35</v>
      </c>
      <c r="D1611" s="129">
        <f t="shared" si="27"/>
        <v>0.0320882203624906</v>
      </c>
    </row>
    <row r="1612" ht="14.25" customHeight="1" spans="2:4">
      <c r="B1612" s="136">
        <v>43949</v>
      </c>
      <c r="C1612" s="128">
        <v>9380.9</v>
      </c>
      <c r="D1612" s="129">
        <f t="shared" si="27"/>
        <v>0.0183830975705956</v>
      </c>
    </row>
    <row r="1613" ht="14.25" customHeight="1" spans="2:4">
      <c r="B1613" s="136">
        <v>43948</v>
      </c>
      <c r="C1613" s="128">
        <v>9282.3</v>
      </c>
      <c r="D1613" s="129">
        <f t="shared" si="27"/>
        <v>0.0106223673012078</v>
      </c>
    </row>
    <row r="1614" ht="14.25" customHeight="1" spans="2:4">
      <c r="B1614" s="136">
        <v>43945</v>
      </c>
      <c r="C1614" s="128">
        <v>9154.4</v>
      </c>
      <c r="D1614" s="129">
        <f t="shared" si="27"/>
        <v>0.0139714235777331</v>
      </c>
    </row>
    <row r="1615" ht="14.25" customHeight="1" spans="2:4">
      <c r="B1615" s="136">
        <v>43944</v>
      </c>
      <c r="C1615" s="128">
        <v>9313.9</v>
      </c>
      <c r="D1615" s="129">
        <f t="shared" si="27"/>
        <v>-0.0171249422905549</v>
      </c>
    </row>
    <row r="1616" ht="14.25" customHeight="1" spans="2:4">
      <c r="B1616" s="136">
        <v>43943</v>
      </c>
      <c r="C1616" s="128">
        <v>9187.3</v>
      </c>
      <c r="D1616" s="129">
        <f t="shared" si="27"/>
        <v>0.0137798918071685</v>
      </c>
    </row>
    <row r="1617" ht="14.25" customHeight="1" spans="2:4">
      <c r="B1617" s="136">
        <v>43942</v>
      </c>
      <c r="C1617" s="128">
        <v>8981.45</v>
      </c>
      <c r="D1617" s="129">
        <f t="shared" si="27"/>
        <v>0.0229194617795565</v>
      </c>
    </row>
    <row r="1618" ht="14.25" customHeight="1" spans="2:4">
      <c r="B1618" s="136">
        <v>43941</v>
      </c>
      <c r="C1618" s="128">
        <v>9261.85</v>
      </c>
      <c r="D1618" s="129">
        <f t="shared" si="27"/>
        <v>-0.0302747291307892</v>
      </c>
    </row>
    <row r="1619" ht="14.25" customHeight="1" spans="2:4">
      <c r="B1619" s="136">
        <v>43938</v>
      </c>
      <c r="C1619" s="128">
        <v>9266.75</v>
      </c>
      <c r="D1619" s="129">
        <f t="shared" si="27"/>
        <v>-0.000528772223271301</v>
      </c>
    </row>
    <row r="1620" ht="14.25" customHeight="1" spans="2:4">
      <c r="B1620" s="136">
        <v>43937</v>
      </c>
      <c r="C1620" s="128">
        <v>8992.8</v>
      </c>
      <c r="D1620" s="129">
        <f t="shared" si="27"/>
        <v>0.0304632594964862</v>
      </c>
    </row>
    <row r="1621" ht="14.25" customHeight="1" spans="2:4">
      <c r="B1621" s="136">
        <v>43936</v>
      </c>
      <c r="C1621" s="128">
        <v>8925.3</v>
      </c>
      <c r="D1621" s="129">
        <f t="shared" si="27"/>
        <v>0.00756277099929403</v>
      </c>
    </row>
    <row r="1622" ht="14.25" customHeight="1" spans="2:4">
      <c r="B1622" s="136">
        <v>43934</v>
      </c>
      <c r="C1622" s="128">
        <v>8993.85</v>
      </c>
      <c r="D1622" s="129">
        <f t="shared" si="27"/>
        <v>-0.00762187494788114</v>
      </c>
    </row>
    <row r="1623" ht="14.25" customHeight="1" spans="2:4">
      <c r="B1623" s="136">
        <v>43930</v>
      </c>
      <c r="C1623" s="128">
        <v>9111.9</v>
      </c>
      <c r="D1623" s="129">
        <f t="shared" si="27"/>
        <v>-0.0129555855529582</v>
      </c>
    </row>
    <row r="1624" ht="14.25" customHeight="1" spans="2:4">
      <c r="B1624" s="136">
        <v>43929</v>
      </c>
      <c r="C1624" s="128">
        <v>8748.75</v>
      </c>
      <c r="D1624" s="129">
        <f t="shared" si="27"/>
        <v>0.0415087869695669</v>
      </c>
    </row>
    <row r="1625" ht="14.25" customHeight="1" spans="2:4">
      <c r="B1625" s="136">
        <v>43928</v>
      </c>
      <c r="C1625" s="128">
        <v>8792.2</v>
      </c>
      <c r="D1625" s="129">
        <f t="shared" si="27"/>
        <v>-0.00494188030299592</v>
      </c>
    </row>
    <row r="1626" ht="14.25" customHeight="1" spans="2:4">
      <c r="B1626" s="136">
        <v>43924</v>
      </c>
      <c r="C1626" s="128">
        <v>8083.8</v>
      </c>
      <c r="D1626" s="129">
        <f t="shared" si="27"/>
        <v>0.0876320542319207</v>
      </c>
    </row>
    <row r="1627" ht="14.25" customHeight="1" spans="2:4">
      <c r="B1627" s="136">
        <v>43922</v>
      </c>
      <c r="C1627" s="128">
        <v>8253.8</v>
      </c>
      <c r="D1627" s="129">
        <f t="shared" si="27"/>
        <v>-0.0205965736993868</v>
      </c>
    </row>
    <row r="1628" ht="14.25" customHeight="1" spans="2:4">
      <c r="B1628" s="136">
        <v>43921</v>
      </c>
      <c r="C1628" s="128">
        <v>8597.75</v>
      </c>
      <c r="D1628" s="129">
        <f t="shared" si="27"/>
        <v>-0.0400046523799832</v>
      </c>
    </row>
    <row r="1629" ht="14.25" customHeight="1" spans="2:4">
      <c r="B1629" s="136">
        <v>43920</v>
      </c>
      <c r="C1629" s="128">
        <v>8281.1</v>
      </c>
      <c r="D1629" s="129">
        <f t="shared" si="27"/>
        <v>0.038237673738996</v>
      </c>
    </row>
    <row r="1630" ht="14.25" customHeight="1" spans="2:4">
      <c r="B1630" s="136">
        <v>43917</v>
      </c>
      <c r="C1630" s="128">
        <v>8660.25</v>
      </c>
      <c r="D1630" s="129">
        <f t="shared" si="27"/>
        <v>-0.0437804913253081</v>
      </c>
    </row>
    <row r="1631" ht="14.25" customHeight="1" spans="2:4">
      <c r="B1631" s="136">
        <v>43916</v>
      </c>
      <c r="C1631" s="128">
        <v>8641.45</v>
      </c>
      <c r="D1631" s="129">
        <f t="shared" si="27"/>
        <v>0.00217556081444648</v>
      </c>
    </row>
    <row r="1632" ht="14.25" customHeight="1" spans="2:4">
      <c r="B1632" s="136">
        <v>43915</v>
      </c>
      <c r="C1632" s="128">
        <v>8317.85</v>
      </c>
      <c r="D1632" s="129">
        <f t="shared" si="27"/>
        <v>0.0389042841599692</v>
      </c>
    </row>
    <row r="1633" ht="14.25" customHeight="1" spans="2:4">
      <c r="B1633" s="136">
        <v>43914</v>
      </c>
      <c r="C1633" s="128">
        <v>7801.05</v>
      </c>
      <c r="D1633" s="129">
        <f t="shared" si="27"/>
        <v>0.0662474923247511</v>
      </c>
    </row>
    <row r="1634" ht="14.25" customHeight="1" spans="2:4">
      <c r="B1634" s="136">
        <v>43913</v>
      </c>
      <c r="C1634" s="128">
        <v>7610.25</v>
      </c>
      <c r="D1634" s="129">
        <f t="shared" si="27"/>
        <v>0.0250714496895634</v>
      </c>
    </row>
    <row r="1635" ht="14.25" customHeight="1" spans="2:4">
      <c r="B1635" s="136">
        <v>43910</v>
      </c>
      <c r="C1635" s="128">
        <v>8745.45</v>
      </c>
      <c r="D1635" s="129">
        <f t="shared" si="27"/>
        <v>-0.129804641270604</v>
      </c>
    </row>
    <row r="1636" ht="14.25" customHeight="1" spans="2:4">
      <c r="B1636" s="136">
        <v>43909</v>
      </c>
      <c r="C1636" s="128">
        <v>8263.45</v>
      </c>
      <c r="D1636" s="129">
        <f t="shared" si="27"/>
        <v>0.0583291482371164</v>
      </c>
    </row>
    <row r="1637" ht="14.25" customHeight="1" spans="2:4">
      <c r="B1637" s="136">
        <v>43908</v>
      </c>
      <c r="C1637" s="128">
        <v>8468.8</v>
      </c>
      <c r="D1637" s="129">
        <f t="shared" si="27"/>
        <v>-0.0242478273191006</v>
      </c>
    </row>
    <row r="1638" ht="14.25" customHeight="1" spans="2:4">
      <c r="B1638" s="136">
        <v>43907</v>
      </c>
      <c r="C1638" s="128">
        <v>8967.05</v>
      </c>
      <c r="D1638" s="129">
        <f t="shared" si="27"/>
        <v>-0.0555645390624564</v>
      </c>
    </row>
    <row r="1639" ht="14.25" customHeight="1" spans="2:4">
      <c r="B1639" s="136">
        <v>43906</v>
      </c>
      <c r="C1639" s="128">
        <v>9197.4</v>
      </c>
      <c r="D1639" s="129">
        <f t="shared" si="27"/>
        <v>-0.0250451214473656</v>
      </c>
    </row>
    <row r="1640" ht="14.25" customHeight="1" spans="2:4">
      <c r="B1640" s="136">
        <v>43903</v>
      </c>
      <c r="C1640" s="128">
        <v>9955.2</v>
      </c>
      <c r="D1640" s="129">
        <f t="shared" si="27"/>
        <v>-0.0761210221793637</v>
      </c>
    </row>
    <row r="1641" ht="14.25" customHeight="1" spans="2:4">
      <c r="B1641" s="136">
        <v>43902</v>
      </c>
      <c r="C1641" s="128">
        <v>9590.15</v>
      </c>
      <c r="D1641" s="129">
        <f t="shared" si="27"/>
        <v>0.038065098043305</v>
      </c>
    </row>
    <row r="1642" ht="14.25" customHeight="1" spans="2:4">
      <c r="B1642" s="136">
        <v>43901</v>
      </c>
      <c r="C1642" s="128">
        <v>10458.4</v>
      </c>
      <c r="D1642" s="129">
        <f t="shared" si="27"/>
        <v>-0.0830193911114511</v>
      </c>
    </row>
    <row r="1643" ht="14.25" customHeight="1" spans="2:4">
      <c r="B1643" s="136">
        <v>43899</v>
      </c>
      <c r="C1643" s="128">
        <v>10451.45</v>
      </c>
      <c r="D1643" s="129">
        <f t="shared" si="27"/>
        <v>0.000664979500452079</v>
      </c>
    </row>
    <row r="1644" ht="14.25" customHeight="1" spans="2:4">
      <c r="B1644" s="136">
        <v>43896</v>
      </c>
      <c r="C1644" s="128">
        <v>10989.45</v>
      </c>
      <c r="D1644" s="129">
        <f t="shared" si="27"/>
        <v>-0.0489560442060339</v>
      </c>
    </row>
    <row r="1645" ht="14.25" customHeight="1" spans="2:4">
      <c r="B1645" s="136">
        <v>43895</v>
      </c>
      <c r="C1645" s="128">
        <v>11269</v>
      </c>
      <c r="D1645" s="129">
        <f t="shared" si="27"/>
        <v>-0.0248069926346614</v>
      </c>
    </row>
    <row r="1646" ht="14.25" customHeight="1" spans="2:4">
      <c r="B1646" s="136">
        <v>43894</v>
      </c>
      <c r="C1646" s="128">
        <v>11251</v>
      </c>
      <c r="D1646" s="129">
        <f t="shared" si="27"/>
        <v>0.0015998577904186</v>
      </c>
    </row>
    <row r="1647" ht="14.25" customHeight="1" spans="2:4">
      <c r="B1647" s="136">
        <v>43893</v>
      </c>
      <c r="C1647" s="128">
        <v>11303.3</v>
      </c>
      <c r="D1647" s="129">
        <f t="shared" si="27"/>
        <v>-0.00462696734581924</v>
      </c>
    </row>
    <row r="1648" ht="14.25" customHeight="1" spans="2:4">
      <c r="B1648" s="136">
        <v>43892</v>
      </c>
      <c r="C1648" s="128">
        <v>11132.75</v>
      </c>
      <c r="D1648" s="129">
        <f t="shared" si="27"/>
        <v>0.0153196649525049</v>
      </c>
    </row>
    <row r="1649" ht="14.25" customHeight="1" spans="2:4">
      <c r="B1649" s="136">
        <v>43889</v>
      </c>
      <c r="C1649" s="128">
        <v>11201.75</v>
      </c>
      <c r="D1649" s="129">
        <f t="shared" si="27"/>
        <v>-0.00615975182449169</v>
      </c>
    </row>
    <row r="1650" ht="14.25" customHeight="1" spans="2:4">
      <c r="B1650" s="136">
        <v>43888</v>
      </c>
      <c r="C1650" s="128">
        <v>11633.3</v>
      </c>
      <c r="D1650" s="129">
        <f t="shared" si="27"/>
        <v>-0.0370960948312172</v>
      </c>
    </row>
    <row r="1651" ht="14.25" customHeight="1" spans="2:4">
      <c r="B1651" s="136">
        <v>43887</v>
      </c>
      <c r="C1651" s="128">
        <v>11678.5</v>
      </c>
      <c r="D1651" s="129">
        <f t="shared" si="27"/>
        <v>-0.00387036006336439</v>
      </c>
    </row>
    <row r="1652" ht="14.25" customHeight="1" spans="2:4">
      <c r="B1652" s="136">
        <v>43886</v>
      </c>
      <c r="C1652" s="128">
        <v>11797.9</v>
      </c>
      <c r="D1652" s="129">
        <f t="shared" si="27"/>
        <v>-0.0101204451639698</v>
      </c>
    </row>
    <row r="1653" ht="14.25" customHeight="1" spans="2:4">
      <c r="B1653" s="136">
        <v>43885</v>
      </c>
      <c r="C1653" s="128">
        <v>11829.4</v>
      </c>
      <c r="D1653" s="129">
        <f t="shared" si="27"/>
        <v>-0.00266285694963397</v>
      </c>
    </row>
    <row r="1654" ht="14.25" customHeight="1" spans="2:4">
      <c r="B1654" s="136">
        <v>43881</v>
      </c>
      <c r="C1654" s="128">
        <v>12080.85</v>
      </c>
      <c r="D1654" s="129">
        <f t="shared" si="27"/>
        <v>-0.020813932794464</v>
      </c>
    </row>
    <row r="1655" ht="14.25" customHeight="1" spans="2:4">
      <c r="B1655" s="136">
        <v>43880</v>
      </c>
      <c r="C1655" s="128">
        <v>12125.9</v>
      </c>
      <c r="D1655" s="129">
        <f t="shared" si="27"/>
        <v>-0.0037151881509826</v>
      </c>
    </row>
    <row r="1656" ht="14.25" customHeight="1" spans="2:4">
      <c r="B1656" s="136">
        <v>43879</v>
      </c>
      <c r="C1656" s="128">
        <v>11992.5</v>
      </c>
      <c r="D1656" s="129">
        <f t="shared" si="27"/>
        <v>0.0111236189284969</v>
      </c>
    </row>
    <row r="1657" ht="14.25" customHeight="1" spans="2:4">
      <c r="B1657" s="136">
        <v>43878</v>
      </c>
      <c r="C1657" s="128">
        <v>12045.8</v>
      </c>
      <c r="D1657" s="129">
        <f t="shared" si="27"/>
        <v>-0.00442477876106184</v>
      </c>
    </row>
    <row r="1658" ht="14.25" customHeight="1" spans="2:4">
      <c r="B1658" s="136">
        <v>43875</v>
      </c>
      <c r="C1658" s="128">
        <v>12113.45</v>
      </c>
      <c r="D1658" s="129">
        <f t="shared" si="27"/>
        <v>-0.00558470130309707</v>
      </c>
    </row>
    <row r="1659" ht="14.25" customHeight="1" spans="2:4">
      <c r="B1659" s="136">
        <v>43874</v>
      </c>
      <c r="C1659" s="128">
        <v>12174.65</v>
      </c>
      <c r="D1659" s="129">
        <f t="shared" si="27"/>
        <v>-0.00502683855388031</v>
      </c>
    </row>
    <row r="1660" ht="14.25" customHeight="1" spans="2:4">
      <c r="B1660" s="136">
        <v>43873</v>
      </c>
      <c r="C1660" s="128">
        <v>12201.2</v>
      </c>
      <c r="D1660" s="129">
        <f t="shared" si="27"/>
        <v>-0.0021760154738879</v>
      </c>
    </row>
    <row r="1661" ht="14.25" customHeight="1" spans="2:4">
      <c r="B1661" s="136">
        <v>43872</v>
      </c>
      <c r="C1661" s="128">
        <v>12107.9</v>
      </c>
      <c r="D1661" s="129">
        <f t="shared" si="27"/>
        <v>0.00770571279908161</v>
      </c>
    </row>
    <row r="1662" ht="14.25" customHeight="1" spans="2:4">
      <c r="B1662" s="136">
        <v>43871</v>
      </c>
      <c r="C1662" s="128">
        <v>12031.5</v>
      </c>
      <c r="D1662" s="129">
        <f t="shared" si="27"/>
        <v>0.0063499979221211</v>
      </c>
    </row>
    <row r="1663" ht="14.25" customHeight="1" spans="2:4">
      <c r="B1663" s="136">
        <v>43868</v>
      </c>
      <c r="C1663" s="128">
        <v>12098.35</v>
      </c>
      <c r="D1663" s="129">
        <f t="shared" si="27"/>
        <v>-0.00552554687209417</v>
      </c>
    </row>
    <row r="1664" ht="14.25" customHeight="1" spans="2:4">
      <c r="B1664" s="136">
        <v>43867</v>
      </c>
      <c r="C1664" s="128">
        <v>12137.95</v>
      </c>
      <c r="D1664" s="129">
        <f t="shared" si="27"/>
        <v>-0.00326249490235175</v>
      </c>
    </row>
    <row r="1665" ht="14.25" customHeight="1" spans="2:4">
      <c r="B1665" s="136">
        <v>43866</v>
      </c>
      <c r="C1665" s="128">
        <v>12089.15</v>
      </c>
      <c r="D1665" s="129">
        <f t="shared" si="27"/>
        <v>0.00403667751661629</v>
      </c>
    </row>
    <row r="1666" ht="14.25" customHeight="1" spans="2:4">
      <c r="B1666" s="136">
        <v>43865</v>
      </c>
      <c r="C1666" s="128">
        <v>11979.65</v>
      </c>
      <c r="D1666" s="129">
        <f t="shared" ref="D1666:D1729" si="28">C1665/C1666-1</f>
        <v>0.00914050076588224</v>
      </c>
    </row>
    <row r="1667" ht="14.25" customHeight="1" spans="2:4">
      <c r="B1667" s="136">
        <v>43864</v>
      </c>
      <c r="C1667" s="128">
        <v>11707.9</v>
      </c>
      <c r="D1667" s="129">
        <f t="shared" si="28"/>
        <v>0.0232108234610819</v>
      </c>
    </row>
    <row r="1668" ht="14.25" customHeight="1" spans="2:4">
      <c r="B1668" s="136">
        <v>43862</v>
      </c>
      <c r="C1668" s="128">
        <v>11661.85</v>
      </c>
      <c r="D1668" s="129">
        <f t="shared" si="28"/>
        <v>0.00394877313633768</v>
      </c>
    </row>
    <row r="1669" ht="14.25" customHeight="1" spans="2:4">
      <c r="B1669" s="136">
        <v>43861</v>
      </c>
      <c r="C1669" s="128">
        <v>11962.1</v>
      </c>
      <c r="D1669" s="129">
        <f t="shared" si="28"/>
        <v>-0.0251001078405966</v>
      </c>
    </row>
    <row r="1670" ht="14.25" customHeight="1" spans="2:4">
      <c r="B1670" s="136">
        <v>43860</v>
      </c>
      <c r="C1670" s="128">
        <v>12035.8</v>
      </c>
      <c r="D1670" s="129">
        <f t="shared" si="28"/>
        <v>-0.00612339852772548</v>
      </c>
    </row>
    <row r="1671" ht="14.25" customHeight="1" spans="2:4">
      <c r="B1671" s="136">
        <v>43859</v>
      </c>
      <c r="C1671" s="128">
        <v>12129.5</v>
      </c>
      <c r="D1671" s="129">
        <f t="shared" si="28"/>
        <v>-0.00772496805309375</v>
      </c>
    </row>
    <row r="1672" ht="14.25" customHeight="1" spans="2:4">
      <c r="B1672" s="136">
        <v>43858</v>
      </c>
      <c r="C1672" s="128">
        <v>12055.8</v>
      </c>
      <c r="D1672" s="129">
        <f t="shared" si="28"/>
        <v>0.00611324010020087</v>
      </c>
    </row>
    <row r="1673" ht="14.25" customHeight="1" spans="2:4">
      <c r="B1673" s="136">
        <v>43857</v>
      </c>
      <c r="C1673" s="128">
        <v>12119</v>
      </c>
      <c r="D1673" s="129">
        <f t="shared" si="28"/>
        <v>-0.00521495172869058</v>
      </c>
    </row>
    <row r="1674" ht="14.25" customHeight="1" spans="2:4">
      <c r="B1674" s="136">
        <v>43854</v>
      </c>
      <c r="C1674" s="128">
        <v>12248.25</v>
      </c>
      <c r="D1674" s="129">
        <f t="shared" si="28"/>
        <v>-0.0105525279121507</v>
      </c>
    </row>
    <row r="1675" ht="14.25" customHeight="1" spans="2:4">
      <c r="B1675" s="136">
        <v>43853</v>
      </c>
      <c r="C1675" s="128">
        <v>12180.35</v>
      </c>
      <c r="D1675" s="129">
        <f t="shared" si="28"/>
        <v>0.00557455245538918</v>
      </c>
    </row>
    <row r="1676" ht="14.25" customHeight="1" spans="2:4">
      <c r="B1676" s="136">
        <v>43852</v>
      </c>
      <c r="C1676" s="128">
        <v>12106.9</v>
      </c>
      <c r="D1676" s="129">
        <f t="shared" si="28"/>
        <v>0.00606678836035646</v>
      </c>
    </row>
    <row r="1677" ht="14.25" customHeight="1" spans="2:4">
      <c r="B1677" s="136">
        <v>43851</v>
      </c>
      <c r="C1677" s="128">
        <v>12169.85</v>
      </c>
      <c r="D1677" s="129">
        <f t="shared" si="28"/>
        <v>-0.00517261921880718</v>
      </c>
    </row>
    <row r="1678" ht="14.25" customHeight="1" spans="2:4">
      <c r="B1678" s="136">
        <v>43850</v>
      </c>
      <c r="C1678" s="128">
        <v>12224.55</v>
      </c>
      <c r="D1678" s="129">
        <f t="shared" si="28"/>
        <v>-0.00447460233710029</v>
      </c>
    </row>
    <row r="1679" ht="14.25" customHeight="1" spans="2:4">
      <c r="B1679" s="136">
        <v>43847</v>
      </c>
      <c r="C1679" s="128">
        <v>12352.35</v>
      </c>
      <c r="D1679" s="129">
        <f t="shared" si="28"/>
        <v>-0.0103462094257369</v>
      </c>
    </row>
    <row r="1680" ht="14.25" customHeight="1" spans="2:4">
      <c r="B1680" s="136">
        <v>43846</v>
      </c>
      <c r="C1680" s="128">
        <v>12355.5</v>
      </c>
      <c r="D1680" s="129">
        <f t="shared" si="28"/>
        <v>-0.00025494718951069</v>
      </c>
    </row>
    <row r="1681" ht="14.25" customHeight="1" spans="2:4">
      <c r="B1681" s="136">
        <v>43845</v>
      </c>
      <c r="C1681" s="128">
        <v>12343.3</v>
      </c>
      <c r="D1681" s="129">
        <f t="shared" si="28"/>
        <v>0.00098839046284227</v>
      </c>
    </row>
    <row r="1682" ht="14.25" customHeight="1" spans="2:4">
      <c r="B1682" s="136">
        <v>43844</v>
      </c>
      <c r="C1682" s="128">
        <v>12362.3</v>
      </c>
      <c r="D1682" s="129">
        <f t="shared" si="28"/>
        <v>-0.00153693083002349</v>
      </c>
    </row>
    <row r="1683" ht="14.25" customHeight="1" spans="2:4">
      <c r="B1683" s="136">
        <v>43843</v>
      </c>
      <c r="C1683" s="128">
        <v>12329.55</v>
      </c>
      <c r="D1683" s="129">
        <f t="shared" si="28"/>
        <v>0.00265622021890488</v>
      </c>
    </row>
    <row r="1684" ht="14.25" customHeight="1" spans="2:4">
      <c r="B1684" s="136">
        <v>43840</v>
      </c>
      <c r="C1684" s="128">
        <v>12256.8</v>
      </c>
      <c r="D1684" s="129">
        <f t="shared" si="28"/>
        <v>0.00593548071274719</v>
      </c>
    </row>
    <row r="1685" ht="14.25" customHeight="1" spans="2:4">
      <c r="B1685" s="136">
        <v>43839</v>
      </c>
      <c r="C1685" s="128">
        <v>12215.9</v>
      </c>
      <c r="D1685" s="129">
        <f t="shared" si="28"/>
        <v>0.0033480955148617</v>
      </c>
    </row>
    <row r="1686" ht="14.25" customHeight="1" spans="2:4">
      <c r="B1686" s="136">
        <v>43838</v>
      </c>
      <c r="C1686" s="128">
        <v>12025.35</v>
      </c>
      <c r="D1686" s="129">
        <f t="shared" si="28"/>
        <v>0.0158456926409625</v>
      </c>
    </row>
    <row r="1687" ht="14.25" customHeight="1" spans="2:4">
      <c r="B1687" s="136">
        <v>43837</v>
      </c>
      <c r="C1687" s="128">
        <v>12052.95</v>
      </c>
      <c r="D1687" s="129">
        <f t="shared" si="28"/>
        <v>-0.00228989583462968</v>
      </c>
    </row>
    <row r="1688" ht="14.25" customHeight="1" spans="2:4">
      <c r="B1688" s="136">
        <v>43836</v>
      </c>
      <c r="C1688" s="128">
        <v>11993.05</v>
      </c>
      <c r="D1688" s="129">
        <f t="shared" si="28"/>
        <v>0.00499455934895643</v>
      </c>
    </row>
    <row r="1689" ht="14.25" customHeight="1" spans="2:4">
      <c r="B1689" s="136">
        <v>43833</v>
      </c>
      <c r="C1689" s="128">
        <v>12226.65</v>
      </c>
      <c r="D1689" s="129">
        <f t="shared" si="28"/>
        <v>-0.0191058057603678</v>
      </c>
    </row>
    <row r="1690" ht="14.25" customHeight="1" spans="2:4">
      <c r="B1690" s="136">
        <v>43832</v>
      </c>
      <c r="C1690" s="128">
        <v>12282.2</v>
      </c>
      <c r="D1690" s="129">
        <f t="shared" si="28"/>
        <v>-0.00452280536060323</v>
      </c>
    </row>
    <row r="1691" ht="14.25" customHeight="1" spans="2:4">
      <c r="B1691" s="136">
        <v>43831</v>
      </c>
      <c r="C1691" s="128">
        <v>12182.5</v>
      </c>
      <c r="D1691" s="129">
        <f t="shared" si="28"/>
        <v>0.00818387030576662</v>
      </c>
    </row>
    <row r="1692" ht="14.25" customHeight="1" spans="2:4">
      <c r="B1692" s="136">
        <v>43830</v>
      </c>
      <c r="C1692" s="128">
        <v>12168.45</v>
      </c>
      <c r="D1692" s="129">
        <f t="shared" si="28"/>
        <v>0.001154625280952</v>
      </c>
    </row>
    <row r="1693" ht="14.25" customHeight="1" spans="2:4">
      <c r="B1693" s="136">
        <v>43829</v>
      </c>
      <c r="C1693" s="128">
        <v>12255.85</v>
      </c>
      <c r="D1693" s="129">
        <f t="shared" si="28"/>
        <v>-0.00713128832353527</v>
      </c>
    </row>
    <row r="1694" ht="14.25" customHeight="1" spans="2:4">
      <c r="B1694" s="136">
        <v>43826</v>
      </c>
      <c r="C1694" s="128">
        <v>12245.8</v>
      </c>
      <c r="D1694" s="129">
        <f t="shared" si="28"/>
        <v>0.000820689542537112</v>
      </c>
    </row>
    <row r="1695" ht="14.25" customHeight="1" spans="2:4">
      <c r="B1695" s="136">
        <v>43825</v>
      </c>
      <c r="C1695" s="128">
        <v>12126.55</v>
      </c>
      <c r="D1695" s="129">
        <f t="shared" si="28"/>
        <v>0.00983379444277221</v>
      </c>
    </row>
    <row r="1696" ht="14.25" customHeight="1" spans="2:4">
      <c r="B1696" s="136">
        <v>43823</v>
      </c>
      <c r="C1696" s="128">
        <v>12214.55</v>
      </c>
      <c r="D1696" s="129">
        <f t="shared" si="28"/>
        <v>-0.00720452247524472</v>
      </c>
    </row>
    <row r="1697" ht="14.25" customHeight="1" spans="2:4">
      <c r="B1697" s="136">
        <v>43822</v>
      </c>
      <c r="C1697" s="128">
        <v>12262.75</v>
      </c>
      <c r="D1697" s="129">
        <f t="shared" si="28"/>
        <v>-0.00393060284194013</v>
      </c>
    </row>
    <row r="1698" ht="14.25" customHeight="1" spans="2:4">
      <c r="B1698" s="136">
        <v>43819</v>
      </c>
      <c r="C1698" s="128">
        <v>12271.8</v>
      </c>
      <c r="D1698" s="129">
        <f t="shared" si="28"/>
        <v>-0.00073746312684364</v>
      </c>
    </row>
    <row r="1699" ht="14.25" customHeight="1" spans="2:4">
      <c r="B1699" s="136">
        <v>43818</v>
      </c>
      <c r="C1699" s="128">
        <v>12259.7</v>
      </c>
      <c r="D1699" s="129">
        <f t="shared" si="28"/>
        <v>0.0009869735801038</v>
      </c>
    </row>
    <row r="1700" ht="14.25" customHeight="1" spans="2:4">
      <c r="B1700" s="136">
        <v>43817</v>
      </c>
      <c r="C1700" s="128">
        <v>12221.65</v>
      </c>
      <c r="D1700" s="129">
        <f t="shared" si="28"/>
        <v>0.00311332757851845</v>
      </c>
    </row>
    <row r="1701" ht="14.25" customHeight="1" spans="2:4">
      <c r="B1701" s="136">
        <v>43816</v>
      </c>
      <c r="C1701" s="128">
        <v>12165</v>
      </c>
      <c r="D1701" s="129">
        <f t="shared" si="28"/>
        <v>0.00465680230168508</v>
      </c>
    </row>
    <row r="1702" ht="14.25" customHeight="1" spans="2:4">
      <c r="B1702" s="136">
        <v>43815</v>
      </c>
      <c r="C1702" s="128">
        <v>12053.95</v>
      </c>
      <c r="D1702" s="129">
        <f t="shared" si="28"/>
        <v>0.00921274768851688</v>
      </c>
    </row>
    <row r="1703" ht="14.25" customHeight="1" spans="2:4">
      <c r="B1703" s="136">
        <v>43812</v>
      </c>
      <c r="C1703" s="128">
        <v>12086.7</v>
      </c>
      <c r="D1703" s="129">
        <f t="shared" si="28"/>
        <v>-0.0027095898797852</v>
      </c>
    </row>
    <row r="1704" ht="14.25" customHeight="1" spans="2:4">
      <c r="B1704" s="136">
        <v>43811</v>
      </c>
      <c r="C1704" s="128">
        <v>11971.8</v>
      </c>
      <c r="D1704" s="129">
        <f t="shared" si="28"/>
        <v>0.00959755425249353</v>
      </c>
    </row>
    <row r="1705" ht="14.25" customHeight="1" spans="2:4">
      <c r="B1705" s="136">
        <v>43810</v>
      </c>
      <c r="C1705" s="128">
        <v>11910.15</v>
      </c>
      <c r="D1705" s="129">
        <f t="shared" si="28"/>
        <v>0.00517625722597947</v>
      </c>
    </row>
    <row r="1706" ht="14.25" customHeight="1" spans="2:4">
      <c r="B1706" s="136">
        <v>43809</v>
      </c>
      <c r="C1706" s="128">
        <v>11856.8</v>
      </c>
      <c r="D1706" s="129">
        <f t="shared" si="28"/>
        <v>0.00449952769718642</v>
      </c>
    </row>
    <row r="1707" ht="14.25" customHeight="1" spans="2:4">
      <c r="B1707" s="136">
        <v>43808</v>
      </c>
      <c r="C1707" s="128">
        <v>11937.5</v>
      </c>
      <c r="D1707" s="129">
        <f t="shared" si="28"/>
        <v>-0.00676020942408384</v>
      </c>
    </row>
    <row r="1708" ht="14.25" customHeight="1" spans="2:4">
      <c r="B1708" s="136">
        <v>43805</v>
      </c>
      <c r="C1708" s="128">
        <v>11921.5</v>
      </c>
      <c r="D1708" s="129">
        <f t="shared" si="28"/>
        <v>0.00134211298913733</v>
      </c>
    </row>
    <row r="1709" ht="14.25" customHeight="1" spans="2:4">
      <c r="B1709" s="136">
        <v>43804</v>
      </c>
      <c r="C1709" s="128">
        <v>12018.4</v>
      </c>
      <c r="D1709" s="129">
        <f t="shared" si="28"/>
        <v>-0.00806263728948942</v>
      </c>
    </row>
    <row r="1710" ht="14.25" customHeight="1" spans="2:4">
      <c r="B1710" s="136">
        <v>43803</v>
      </c>
      <c r="C1710" s="128">
        <v>12043.2</v>
      </c>
      <c r="D1710" s="129">
        <f t="shared" si="28"/>
        <v>-0.00205925335459023</v>
      </c>
    </row>
    <row r="1711" ht="14.25" customHeight="1" spans="2:4">
      <c r="B1711" s="136">
        <v>43802</v>
      </c>
      <c r="C1711" s="128">
        <v>11994.2</v>
      </c>
      <c r="D1711" s="129">
        <f t="shared" si="28"/>
        <v>0.00408530789881767</v>
      </c>
    </row>
    <row r="1712" ht="14.25" customHeight="1" spans="2:4">
      <c r="B1712" s="136">
        <v>43801</v>
      </c>
      <c r="C1712" s="128">
        <v>12048.2</v>
      </c>
      <c r="D1712" s="129">
        <f t="shared" si="28"/>
        <v>-0.00448199731080157</v>
      </c>
    </row>
    <row r="1713" ht="14.25" customHeight="1" spans="2:4">
      <c r="B1713" s="136">
        <v>43798</v>
      </c>
      <c r="C1713" s="128">
        <v>12056.05</v>
      </c>
      <c r="D1713" s="129">
        <f t="shared" si="28"/>
        <v>-0.000651125368590799</v>
      </c>
    </row>
    <row r="1714" ht="14.25" customHeight="1" spans="2:4">
      <c r="B1714" s="136">
        <v>43797</v>
      </c>
      <c r="C1714" s="128">
        <v>12151.15</v>
      </c>
      <c r="D1714" s="129">
        <f t="shared" si="28"/>
        <v>-0.00782641972159015</v>
      </c>
    </row>
    <row r="1715" ht="14.25" customHeight="1" spans="2:4">
      <c r="B1715" s="136">
        <v>43796</v>
      </c>
      <c r="C1715" s="128">
        <v>12100.7</v>
      </c>
      <c r="D1715" s="129">
        <f t="shared" si="28"/>
        <v>0.00416918029535474</v>
      </c>
    </row>
    <row r="1716" ht="14.25" customHeight="1" spans="2:4">
      <c r="B1716" s="136">
        <v>43795</v>
      </c>
      <c r="C1716" s="128">
        <v>12037.7</v>
      </c>
      <c r="D1716" s="129">
        <f t="shared" si="28"/>
        <v>0.00523355790558</v>
      </c>
    </row>
    <row r="1717" ht="14.25" customHeight="1" spans="2:4">
      <c r="B1717" s="136">
        <v>43794</v>
      </c>
      <c r="C1717" s="128">
        <v>12073.75</v>
      </c>
      <c r="D1717" s="129">
        <f t="shared" si="28"/>
        <v>-0.00298581633709483</v>
      </c>
    </row>
    <row r="1718" ht="14.25" customHeight="1" spans="2:4">
      <c r="B1718" s="136">
        <v>43791</v>
      </c>
      <c r="C1718" s="128">
        <v>11914.4</v>
      </c>
      <c r="D1718" s="129">
        <f t="shared" si="28"/>
        <v>0.0133745719465521</v>
      </c>
    </row>
    <row r="1719" ht="14.25" customHeight="1" spans="2:4">
      <c r="B1719" s="136">
        <v>43790</v>
      </c>
      <c r="C1719" s="128">
        <v>11968.4</v>
      </c>
      <c r="D1719" s="129">
        <f t="shared" si="28"/>
        <v>-0.00451188128739011</v>
      </c>
    </row>
    <row r="1720" ht="14.25" customHeight="1" spans="2:4">
      <c r="B1720" s="136">
        <v>43789</v>
      </c>
      <c r="C1720" s="128">
        <v>11999.1</v>
      </c>
      <c r="D1720" s="129">
        <f t="shared" si="28"/>
        <v>-0.00255852522272515</v>
      </c>
    </row>
    <row r="1721" ht="14.25" customHeight="1" spans="2:4">
      <c r="B1721" s="136">
        <v>43788</v>
      </c>
      <c r="C1721" s="128">
        <v>11940.1</v>
      </c>
      <c r="D1721" s="129">
        <f t="shared" si="28"/>
        <v>0.00494133214964698</v>
      </c>
    </row>
    <row r="1722" ht="14.25" customHeight="1" spans="2:4">
      <c r="B1722" s="136">
        <v>43787</v>
      </c>
      <c r="C1722" s="128">
        <v>11884.5</v>
      </c>
      <c r="D1722" s="129">
        <f t="shared" si="28"/>
        <v>0.0046783625730995</v>
      </c>
    </row>
    <row r="1723" ht="14.25" customHeight="1" spans="2:4">
      <c r="B1723" s="136">
        <v>43784</v>
      </c>
      <c r="C1723" s="128">
        <v>11895.45</v>
      </c>
      <c r="D1723" s="129">
        <f t="shared" si="28"/>
        <v>-0.000920520030768146</v>
      </c>
    </row>
    <row r="1724" ht="14.25" customHeight="1" spans="2:4">
      <c r="B1724" s="136">
        <v>43783</v>
      </c>
      <c r="C1724" s="128">
        <v>11872.1</v>
      </c>
      <c r="D1724" s="129">
        <f t="shared" si="28"/>
        <v>0.00196679610178485</v>
      </c>
    </row>
    <row r="1725" ht="14.25" customHeight="1" spans="2:4">
      <c r="B1725" s="136">
        <v>43782</v>
      </c>
      <c r="C1725" s="128">
        <v>11840.45</v>
      </c>
      <c r="D1725" s="129">
        <f t="shared" si="28"/>
        <v>0.00267304029829951</v>
      </c>
    </row>
    <row r="1726" ht="14.25" customHeight="1" spans="2:4">
      <c r="B1726" s="136">
        <v>43780</v>
      </c>
      <c r="C1726" s="128">
        <v>11913.45</v>
      </c>
      <c r="D1726" s="129">
        <f t="shared" si="28"/>
        <v>-0.00612752812997075</v>
      </c>
    </row>
    <row r="1727" ht="14.25" customHeight="1" spans="2:4">
      <c r="B1727" s="136">
        <v>43777</v>
      </c>
      <c r="C1727" s="128">
        <v>11908.15</v>
      </c>
      <c r="D1727" s="129">
        <f t="shared" si="28"/>
        <v>0.000445073332129731</v>
      </c>
    </row>
    <row r="1728" ht="14.25" customHeight="1" spans="2:4">
      <c r="B1728" s="136">
        <v>43776</v>
      </c>
      <c r="C1728" s="128">
        <v>12012.05</v>
      </c>
      <c r="D1728" s="129">
        <f t="shared" si="28"/>
        <v>-0.00864964764548926</v>
      </c>
    </row>
    <row r="1729" ht="14.25" customHeight="1" spans="2:4">
      <c r="B1729" s="136">
        <v>43775</v>
      </c>
      <c r="C1729" s="128">
        <v>11966.05</v>
      </c>
      <c r="D1729" s="129">
        <f t="shared" si="28"/>
        <v>0.00384420924198037</v>
      </c>
    </row>
    <row r="1730" ht="14.25" customHeight="1" spans="2:4">
      <c r="B1730" s="136">
        <v>43774</v>
      </c>
      <c r="C1730" s="128">
        <v>11917.2</v>
      </c>
      <c r="D1730" s="129">
        <f t="shared" ref="D1730:D1793" si="29">C1729/C1730-1</f>
        <v>0.00409911724230505</v>
      </c>
    </row>
    <row r="1731" ht="14.25" customHeight="1" spans="2:4">
      <c r="B1731" s="136">
        <v>43773</v>
      </c>
      <c r="C1731" s="128">
        <v>11941.3</v>
      </c>
      <c r="D1731" s="129">
        <f t="shared" si="29"/>
        <v>-0.00201820572299483</v>
      </c>
    </row>
    <row r="1732" ht="14.25" customHeight="1" spans="2:4">
      <c r="B1732" s="136">
        <v>43770</v>
      </c>
      <c r="C1732" s="128">
        <v>11890.6</v>
      </c>
      <c r="D1732" s="129">
        <f t="shared" si="29"/>
        <v>0.00426387230249103</v>
      </c>
    </row>
    <row r="1733" ht="14.25" customHeight="1" spans="2:4">
      <c r="B1733" s="136">
        <v>43769</v>
      </c>
      <c r="C1733" s="128">
        <v>11877.45</v>
      </c>
      <c r="D1733" s="129">
        <f t="shared" si="29"/>
        <v>0.00110714000058931</v>
      </c>
    </row>
    <row r="1734" ht="14.25" customHeight="1" spans="2:4">
      <c r="B1734" s="136">
        <v>43768</v>
      </c>
      <c r="C1734" s="128">
        <v>11844.1</v>
      </c>
      <c r="D1734" s="129">
        <f t="shared" si="29"/>
        <v>0.0028157479251274</v>
      </c>
    </row>
    <row r="1735" ht="14.25" customHeight="1" spans="2:4">
      <c r="B1735" s="136">
        <v>43767</v>
      </c>
      <c r="C1735" s="128">
        <v>11786.85</v>
      </c>
      <c r="D1735" s="129">
        <f t="shared" si="29"/>
        <v>0.00485710770901471</v>
      </c>
    </row>
    <row r="1736" ht="14.25" customHeight="1" spans="2:4">
      <c r="B1736" s="136">
        <v>43765</v>
      </c>
      <c r="C1736" s="128">
        <v>11627.15</v>
      </c>
      <c r="D1736" s="129">
        <f t="shared" si="29"/>
        <v>0.0137350941546295</v>
      </c>
    </row>
    <row r="1737" ht="14.25" customHeight="1" spans="2:4">
      <c r="B1737" s="136">
        <v>43763</v>
      </c>
      <c r="C1737" s="128">
        <v>11583.9</v>
      </c>
      <c r="D1737" s="129">
        <f t="shared" si="29"/>
        <v>0.00373363029722285</v>
      </c>
    </row>
    <row r="1738" ht="14.25" customHeight="1" spans="2:4">
      <c r="B1738" s="136">
        <v>43762</v>
      </c>
      <c r="C1738" s="128">
        <v>11582.6</v>
      </c>
      <c r="D1738" s="129">
        <f t="shared" si="29"/>
        <v>0.000112237321499453</v>
      </c>
    </row>
    <row r="1739" ht="14.25" customHeight="1" spans="2:4">
      <c r="B1739" s="136">
        <v>43761</v>
      </c>
      <c r="C1739" s="128">
        <v>11604.1</v>
      </c>
      <c r="D1739" s="129">
        <f t="shared" si="29"/>
        <v>-0.00185279340922606</v>
      </c>
    </row>
    <row r="1740" ht="14.25" customHeight="1" spans="2:4">
      <c r="B1740" s="136">
        <v>43760</v>
      </c>
      <c r="C1740" s="128">
        <v>11588.35</v>
      </c>
      <c r="D1740" s="129">
        <f t="shared" si="29"/>
        <v>0.00135912360258361</v>
      </c>
    </row>
    <row r="1741" ht="14.25" customHeight="1" spans="2:4">
      <c r="B1741" s="136">
        <v>43756</v>
      </c>
      <c r="C1741" s="128">
        <v>11661.85</v>
      </c>
      <c r="D1741" s="129">
        <f t="shared" si="29"/>
        <v>-0.0063026020742849</v>
      </c>
    </row>
    <row r="1742" ht="14.25" customHeight="1" spans="2:4">
      <c r="B1742" s="136">
        <v>43755</v>
      </c>
      <c r="C1742" s="128">
        <v>11586.35</v>
      </c>
      <c r="D1742" s="129">
        <f t="shared" si="29"/>
        <v>0.00651628856369779</v>
      </c>
    </row>
    <row r="1743" ht="14.25" customHeight="1" spans="2:4">
      <c r="B1743" s="136">
        <v>43754</v>
      </c>
      <c r="C1743" s="128">
        <v>11464</v>
      </c>
      <c r="D1743" s="129">
        <f t="shared" si="29"/>
        <v>0.0106725401256107</v>
      </c>
    </row>
    <row r="1744" ht="14.25" customHeight="1" spans="2:4">
      <c r="B1744" s="136">
        <v>43753</v>
      </c>
      <c r="C1744" s="128">
        <v>11428.3</v>
      </c>
      <c r="D1744" s="129">
        <f t="shared" si="29"/>
        <v>0.00312382419082469</v>
      </c>
    </row>
    <row r="1745" ht="14.25" customHeight="1" spans="2:4">
      <c r="B1745" s="136">
        <v>43752</v>
      </c>
      <c r="C1745" s="128">
        <v>11341.15</v>
      </c>
      <c r="D1745" s="129">
        <f t="shared" si="29"/>
        <v>0.00768440590239972</v>
      </c>
    </row>
    <row r="1746" ht="14.25" customHeight="1" spans="2:4">
      <c r="B1746" s="136">
        <v>43749</v>
      </c>
      <c r="C1746" s="128">
        <v>11305.05</v>
      </c>
      <c r="D1746" s="129">
        <f t="shared" si="29"/>
        <v>0.00319326318769053</v>
      </c>
    </row>
    <row r="1747" ht="14.25" customHeight="1" spans="2:4">
      <c r="B1747" s="136">
        <v>43748</v>
      </c>
      <c r="C1747" s="128">
        <v>11234.55</v>
      </c>
      <c r="D1747" s="129">
        <f t="shared" si="29"/>
        <v>0.00627528472435479</v>
      </c>
    </row>
    <row r="1748" ht="14.25" customHeight="1" spans="2:4">
      <c r="B1748" s="136">
        <v>43747</v>
      </c>
      <c r="C1748" s="128">
        <v>11313.3</v>
      </c>
      <c r="D1748" s="129">
        <f t="shared" si="29"/>
        <v>-0.00696083370899736</v>
      </c>
    </row>
    <row r="1749" ht="14.25" customHeight="1" spans="2:4">
      <c r="B1749" s="136">
        <v>43745</v>
      </c>
      <c r="C1749" s="128">
        <v>11126.4</v>
      </c>
      <c r="D1749" s="129">
        <f t="shared" si="29"/>
        <v>0.0167978861087144</v>
      </c>
    </row>
    <row r="1750" ht="14.25" customHeight="1" spans="2:4">
      <c r="B1750" s="136">
        <v>43742</v>
      </c>
      <c r="C1750" s="128">
        <v>11174.75</v>
      </c>
      <c r="D1750" s="129">
        <f t="shared" si="29"/>
        <v>-0.00432671871853962</v>
      </c>
    </row>
    <row r="1751" ht="14.25" customHeight="1" spans="2:4">
      <c r="B1751" s="136">
        <v>43741</v>
      </c>
      <c r="C1751" s="128">
        <v>11314</v>
      </c>
      <c r="D1751" s="129">
        <f t="shared" si="29"/>
        <v>-0.0123077602969772</v>
      </c>
    </row>
    <row r="1752" ht="14.25" customHeight="1" spans="2:4">
      <c r="B1752" s="136">
        <v>43739</v>
      </c>
      <c r="C1752" s="128">
        <v>11359.9</v>
      </c>
      <c r="D1752" s="129">
        <f t="shared" si="29"/>
        <v>-0.0040405285257793</v>
      </c>
    </row>
    <row r="1753" ht="14.25" customHeight="1" spans="2:4">
      <c r="B1753" s="136">
        <v>43738</v>
      </c>
      <c r="C1753" s="128">
        <v>11474.45</v>
      </c>
      <c r="D1753" s="129">
        <f t="shared" si="29"/>
        <v>-0.00998304929648053</v>
      </c>
    </row>
    <row r="1754" ht="14.25" customHeight="1" spans="2:4">
      <c r="B1754" s="136">
        <v>43735</v>
      </c>
      <c r="C1754" s="128">
        <v>11512.4</v>
      </c>
      <c r="D1754" s="129">
        <f t="shared" si="29"/>
        <v>-0.00329644557173125</v>
      </c>
    </row>
    <row r="1755" ht="14.25" customHeight="1" spans="2:4">
      <c r="B1755" s="136">
        <v>43734</v>
      </c>
      <c r="C1755" s="128">
        <v>11571.2</v>
      </c>
      <c r="D1755" s="129">
        <f t="shared" si="29"/>
        <v>-0.00508158185840712</v>
      </c>
    </row>
    <row r="1756" ht="14.25" customHeight="1" spans="2:4">
      <c r="B1756" s="136">
        <v>43733</v>
      </c>
      <c r="C1756" s="128">
        <v>11440.2</v>
      </c>
      <c r="D1756" s="129">
        <f t="shared" si="29"/>
        <v>0.0114508487613854</v>
      </c>
    </row>
    <row r="1757" ht="14.25" customHeight="1" spans="2:4">
      <c r="B1757" s="136">
        <v>43732</v>
      </c>
      <c r="C1757" s="128">
        <v>11588.2</v>
      </c>
      <c r="D1757" s="129">
        <f t="shared" si="29"/>
        <v>-0.0127716125023731</v>
      </c>
    </row>
    <row r="1758" ht="14.25" customHeight="1" spans="2:4">
      <c r="B1758" s="136">
        <v>43731</v>
      </c>
      <c r="C1758" s="128">
        <v>11600.2</v>
      </c>
      <c r="D1758" s="129">
        <f t="shared" si="29"/>
        <v>-0.00103446492301862</v>
      </c>
    </row>
    <row r="1759" ht="14.25" customHeight="1" spans="2:4">
      <c r="B1759" s="136">
        <v>43728</v>
      </c>
      <c r="C1759" s="128">
        <v>11274.2</v>
      </c>
      <c r="D1759" s="129">
        <f t="shared" si="29"/>
        <v>0.0289155771584679</v>
      </c>
    </row>
    <row r="1760" ht="14.25" customHeight="1" spans="2:4">
      <c r="B1760" s="136">
        <v>43727</v>
      </c>
      <c r="C1760" s="128">
        <v>10704.8</v>
      </c>
      <c r="D1760" s="129">
        <f t="shared" si="29"/>
        <v>0.0531910918466483</v>
      </c>
    </row>
    <row r="1761" ht="14.25" customHeight="1" spans="2:4">
      <c r="B1761" s="136">
        <v>43726</v>
      </c>
      <c r="C1761" s="128">
        <v>10840.65</v>
      </c>
      <c r="D1761" s="129">
        <f t="shared" si="29"/>
        <v>-0.012531536393113</v>
      </c>
    </row>
    <row r="1762" ht="14.25" customHeight="1" spans="2:4">
      <c r="B1762" s="136">
        <v>43725</v>
      </c>
      <c r="C1762" s="128">
        <v>10817.6</v>
      </c>
      <c r="D1762" s="129">
        <f t="shared" si="29"/>
        <v>0.00213078686584822</v>
      </c>
    </row>
    <row r="1763" ht="14.25" customHeight="1" spans="2:4">
      <c r="B1763" s="136">
        <v>43724</v>
      </c>
      <c r="C1763" s="128">
        <v>11003.5</v>
      </c>
      <c r="D1763" s="129">
        <f t="shared" si="29"/>
        <v>-0.0168946244376789</v>
      </c>
    </row>
    <row r="1764" ht="14.25" customHeight="1" spans="2:4">
      <c r="B1764" s="136">
        <v>43721</v>
      </c>
      <c r="C1764" s="128">
        <v>11075.9</v>
      </c>
      <c r="D1764" s="129">
        <f t="shared" si="29"/>
        <v>-0.00653671484935758</v>
      </c>
    </row>
    <row r="1765" ht="14.25" customHeight="1" spans="2:4">
      <c r="B1765" s="136">
        <v>43720</v>
      </c>
      <c r="C1765" s="128">
        <v>10982.8</v>
      </c>
      <c r="D1765" s="129">
        <f t="shared" si="29"/>
        <v>0.00847689113887173</v>
      </c>
    </row>
    <row r="1766" ht="14.25" customHeight="1" spans="2:4">
      <c r="B1766" s="136">
        <v>43719</v>
      </c>
      <c r="C1766" s="128">
        <v>11035.7</v>
      </c>
      <c r="D1766" s="129">
        <f t="shared" si="29"/>
        <v>-0.00479353371331237</v>
      </c>
    </row>
    <row r="1767" ht="14.25" customHeight="1" spans="2:4">
      <c r="B1767" s="136">
        <v>43717</v>
      </c>
      <c r="C1767" s="128">
        <v>11003.05</v>
      </c>
      <c r="D1767" s="129">
        <f t="shared" si="29"/>
        <v>0.00296735905044532</v>
      </c>
    </row>
    <row r="1768" ht="14.25" customHeight="1" spans="2:4">
      <c r="B1768" s="136">
        <v>43714</v>
      </c>
      <c r="C1768" s="128">
        <v>10946.2</v>
      </c>
      <c r="D1768" s="129">
        <f t="shared" si="29"/>
        <v>0.00519358316127949</v>
      </c>
    </row>
    <row r="1769" ht="14.25" customHeight="1" spans="2:4">
      <c r="B1769" s="136">
        <v>43713</v>
      </c>
      <c r="C1769" s="128">
        <v>10847.9</v>
      </c>
      <c r="D1769" s="129">
        <f t="shared" si="29"/>
        <v>0.00906166170410883</v>
      </c>
    </row>
    <row r="1770" ht="14.25" customHeight="1" spans="2:4">
      <c r="B1770" s="136">
        <v>43712</v>
      </c>
      <c r="C1770" s="128">
        <v>10844.65</v>
      </c>
      <c r="D1770" s="129">
        <f t="shared" si="29"/>
        <v>0.000299686942409449</v>
      </c>
    </row>
    <row r="1771" ht="14.25" customHeight="1" spans="2:4">
      <c r="B1771" s="136">
        <v>43711</v>
      </c>
      <c r="C1771" s="128">
        <v>10797.9</v>
      </c>
      <c r="D1771" s="129">
        <f t="shared" si="29"/>
        <v>0.00432954555978471</v>
      </c>
    </row>
    <row r="1772" ht="14.25" customHeight="1" spans="2:4">
      <c r="B1772" s="136">
        <v>43707</v>
      </c>
      <c r="C1772" s="128">
        <v>11023.25</v>
      </c>
      <c r="D1772" s="129">
        <f t="shared" si="29"/>
        <v>-0.02044315424217</v>
      </c>
    </row>
    <row r="1773" ht="14.25" customHeight="1" spans="2:4">
      <c r="B1773" s="136">
        <v>43706</v>
      </c>
      <c r="C1773" s="128">
        <v>10948.3</v>
      </c>
      <c r="D1773" s="129">
        <f t="shared" si="29"/>
        <v>0.00684581167852549</v>
      </c>
    </row>
    <row r="1774" ht="14.25" customHeight="1" spans="2:4">
      <c r="B1774" s="136">
        <v>43705</v>
      </c>
      <c r="C1774" s="128">
        <v>11046.1</v>
      </c>
      <c r="D1774" s="129">
        <f t="shared" si="29"/>
        <v>-0.0088538036048923</v>
      </c>
    </row>
    <row r="1775" ht="14.25" customHeight="1" spans="2:4">
      <c r="B1775" s="136">
        <v>43704</v>
      </c>
      <c r="C1775" s="128">
        <v>11105.35</v>
      </c>
      <c r="D1775" s="129">
        <f t="shared" si="29"/>
        <v>-0.005335266335595</v>
      </c>
    </row>
    <row r="1776" ht="14.25" customHeight="1" spans="2:4">
      <c r="B1776" s="136">
        <v>43703</v>
      </c>
      <c r="C1776" s="128">
        <v>11057.85</v>
      </c>
      <c r="D1776" s="129">
        <f t="shared" si="29"/>
        <v>0.00429559091505127</v>
      </c>
    </row>
    <row r="1777" ht="14.25" customHeight="1" spans="2:4">
      <c r="B1777" s="136">
        <v>43700</v>
      </c>
      <c r="C1777" s="128">
        <v>10829.35</v>
      </c>
      <c r="D1777" s="129">
        <f t="shared" si="29"/>
        <v>0.0211000660242766</v>
      </c>
    </row>
    <row r="1778" ht="14.25" customHeight="1" spans="2:4">
      <c r="B1778" s="136">
        <v>43699</v>
      </c>
      <c r="C1778" s="128">
        <v>10741.35</v>
      </c>
      <c r="D1778" s="129">
        <f t="shared" si="29"/>
        <v>0.00819263872790654</v>
      </c>
    </row>
    <row r="1779" ht="14.25" customHeight="1" spans="2:4">
      <c r="B1779" s="136">
        <v>43698</v>
      </c>
      <c r="C1779" s="128">
        <v>10918.7</v>
      </c>
      <c r="D1779" s="129">
        <f t="shared" si="29"/>
        <v>-0.0162427761546705</v>
      </c>
    </row>
    <row r="1780" ht="14.25" customHeight="1" spans="2:4">
      <c r="B1780" s="136">
        <v>43697</v>
      </c>
      <c r="C1780" s="128">
        <v>11017</v>
      </c>
      <c r="D1780" s="129">
        <f t="shared" si="29"/>
        <v>-0.00892257420350362</v>
      </c>
    </row>
    <row r="1781" ht="14.25" customHeight="1" spans="2:4">
      <c r="B1781" s="136">
        <v>43696</v>
      </c>
      <c r="C1781" s="128">
        <v>11053.9</v>
      </c>
      <c r="D1781" s="129">
        <f t="shared" si="29"/>
        <v>-0.00333818833171995</v>
      </c>
    </row>
    <row r="1782" ht="14.25" customHeight="1" spans="2:4">
      <c r="B1782" s="136">
        <v>43693</v>
      </c>
      <c r="C1782" s="128">
        <v>11047.8</v>
      </c>
      <c r="D1782" s="129">
        <f t="shared" si="29"/>
        <v>0.000552146128641073</v>
      </c>
    </row>
    <row r="1783" ht="14.25" customHeight="1" spans="2:4">
      <c r="B1783" s="136">
        <v>43691</v>
      </c>
      <c r="C1783" s="128">
        <v>11029.4</v>
      </c>
      <c r="D1783" s="129">
        <f t="shared" si="29"/>
        <v>0.00166826844615309</v>
      </c>
    </row>
    <row r="1784" ht="14.25" customHeight="1" spans="2:4">
      <c r="B1784" s="136">
        <v>43690</v>
      </c>
      <c r="C1784" s="128">
        <v>10925.85</v>
      </c>
      <c r="D1784" s="129">
        <f t="shared" si="29"/>
        <v>0.00947752348787501</v>
      </c>
    </row>
    <row r="1785" ht="14.25" customHeight="1" spans="2:4">
      <c r="B1785" s="136">
        <v>43686</v>
      </c>
      <c r="C1785" s="128">
        <v>11109.65</v>
      </c>
      <c r="D1785" s="129">
        <f t="shared" si="29"/>
        <v>-0.0165441755590859</v>
      </c>
    </row>
    <row r="1786" ht="14.25" customHeight="1" spans="2:4">
      <c r="B1786" s="136">
        <v>43685</v>
      </c>
      <c r="C1786" s="128">
        <v>11032.45</v>
      </c>
      <c r="D1786" s="129">
        <f t="shared" si="29"/>
        <v>0.00699753907790202</v>
      </c>
    </row>
    <row r="1787" ht="14.25" customHeight="1" spans="2:4">
      <c r="B1787" s="136">
        <v>43684</v>
      </c>
      <c r="C1787" s="128">
        <v>10855.5</v>
      </c>
      <c r="D1787" s="129">
        <f t="shared" si="29"/>
        <v>0.0163004928377322</v>
      </c>
    </row>
    <row r="1788" ht="14.25" customHeight="1" spans="2:4">
      <c r="B1788" s="136">
        <v>43683</v>
      </c>
      <c r="C1788" s="128">
        <v>10948.25</v>
      </c>
      <c r="D1788" s="129">
        <f t="shared" si="29"/>
        <v>-0.00847167355513434</v>
      </c>
    </row>
    <row r="1789" ht="14.25" customHeight="1" spans="2:4">
      <c r="B1789" s="136">
        <v>43682</v>
      </c>
      <c r="C1789" s="128">
        <v>10862.6</v>
      </c>
      <c r="D1789" s="129">
        <f t="shared" si="29"/>
        <v>0.00788485261355465</v>
      </c>
    </row>
    <row r="1790" ht="14.25" customHeight="1" spans="2:4">
      <c r="B1790" s="136">
        <v>43679</v>
      </c>
      <c r="C1790" s="128">
        <v>10997.35</v>
      </c>
      <c r="D1790" s="129">
        <f t="shared" si="29"/>
        <v>-0.0122529518474905</v>
      </c>
    </row>
    <row r="1791" ht="14.25" customHeight="1" spans="2:4">
      <c r="B1791" s="136">
        <v>43678</v>
      </c>
      <c r="C1791" s="128">
        <v>10980</v>
      </c>
      <c r="D1791" s="129">
        <f t="shared" si="29"/>
        <v>0.00158014571948994</v>
      </c>
    </row>
    <row r="1792" ht="14.25" customHeight="1" spans="2:4">
      <c r="B1792" s="136">
        <v>43677</v>
      </c>
      <c r="C1792" s="128">
        <v>11118</v>
      </c>
      <c r="D1792" s="129">
        <f t="shared" si="29"/>
        <v>-0.0124123043712898</v>
      </c>
    </row>
    <row r="1793" ht="14.25" customHeight="1" spans="2:4">
      <c r="B1793" s="136">
        <v>43676</v>
      </c>
      <c r="C1793" s="128">
        <v>11085.4</v>
      </c>
      <c r="D1793" s="129">
        <f t="shared" si="29"/>
        <v>0.00294080502282279</v>
      </c>
    </row>
    <row r="1794" ht="14.25" customHeight="1" spans="2:4">
      <c r="B1794" s="136">
        <v>43675</v>
      </c>
      <c r="C1794" s="128">
        <v>11189.2</v>
      </c>
      <c r="D1794" s="129">
        <f t="shared" ref="D1794:D1857" si="30">C1793/C1794-1</f>
        <v>-0.00927680263110864</v>
      </c>
    </row>
    <row r="1795" ht="14.25" customHeight="1" spans="2:4">
      <c r="B1795" s="136">
        <v>43672</v>
      </c>
      <c r="C1795" s="128">
        <v>11284.3</v>
      </c>
      <c r="D1795" s="129">
        <f t="shared" si="30"/>
        <v>-0.00842763840025507</v>
      </c>
    </row>
    <row r="1796" ht="14.25" customHeight="1" spans="2:4">
      <c r="B1796" s="136">
        <v>43671</v>
      </c>
      <c r="C1796" s="128">
        <v>11252.15</v>
      </c>
      <c r="D1796" s="129">
        <f t="shared" si="30"/>
        <v>0.00285723172904739</v>
      </c>
    </row>
    <row r="1797" ht="14.25" customHeight="1" spans="2:4">
      <c r="B1797" s="136">
        <v>43670</v>
      </c>
      <c r="C1797" s="128">
        <v>11271.3</v>
      </c>
      <c r="D1797" s="129">
        <f t="shared" si="30"/>
        <v>-0.00169900543859181</v>
      </c>
    </row>
    <row r="1798" ht="14.25" customHeight="1" spans="2:4">
      <c r="B1798" s="136">
        <v>43669</v>
      </c>
      <c r="C1798" s="128">
        <v>11331.05</v>
      </c>
      <c r="D1798" s="129">
        <f t="shared" si="30"/>
        <v>-0.0052731212023599</v>
      </c>
    </row>
    <row r="1799" ht="14.25" customHeight="1" spans="2:4">
      <c r="B1799" s="136">
        <v>43668</v>
      </c>
      <c r="C1799" s="128">
        <v>11346.2</v>
      </c>
      <c r="D1799" s="129">
        <f t="shared" si="30"/>
        <v>-0.00133524880576774</v>
      </c>
    </row>
    <row r="1800" ht="14.25" customHeight="1" spans="2:4">
      <c r="B1800" s="136">
        <v>43665</v>
      </c>
      <c r="C1800" s="128">
        <v>11419.25</v>
      </c>
      <c r="D1800" s="129">
        <f t="shared" si="30"/>
        <v>-0.00639709262867516</v>
      </c>
    </row>
    <row r="1801" ht="14.25" customHeight="1" spans="2:4">
      <c r="B1801" s="136">
        <v>43664</v>
      </c>
      <c r="C1801" s="128">
        <v>11596.9</v>
      </c>
      <c r="D1801" s="129">
        <f t="shared" si="30"/>
        <v>-0.0153187489760194</v>
      </c>
    </row>
    <row r="1802" ht="14.25" customHeight="1" spans="2:4">
      <c r="B1802" s="136">
        <v>43663</v>
      </c>
      <c r="C1802" s="128">
        <v>11687.5</v>
      </c>
      <c r="D1802" s="129">
        <f t="shared" si="30"/>
        <v>-0.00775187165775404</v>
      </c>
    </row>
    <row r="1803" ht="14.25" customHeight="1" spans="2:4">
      <c r="B1803" s="136">
        <v>43662</v>
      </c>
      <c r="C1803" s="128">
        <v>11662.6</v>
      </c>
      <c r="D1803" s="129">
        <f t="shared" si="30"/>
        <v>0.00213502992471648</v>
      </c>
    </row>
    <row r="1804" ht="14.25" customHeight="1" spans="2:4">
      <c r="B1804" s="136">
        <v>43661</v>
      </c>
      <c r="C1804" s="128">
        <v>11588.35</v>
      </c>
      <c r="D1804" s="129">
        <f t="shared" si="30"/>
        <v>0.00640729698360865</v>
      </c>
    </row>
    <row r="1805" ht="14.25" customHeight="1" spans="2:4">
      <c r="B1805" s="136">
        <v>43658</v>
      </c>
      <c r="C1805" s="128">
        <v>11552.5</v>
      </c>
      <c r="D1805" s="129">
        <f t="shared" si="30"/>
        <v>0.00310322441030086</v>
      </c>
    </row>
    <row r="1806" ht="14.25" customHeight="1" spans="2:4">
      <c r="B1806" s="136">
        <v>43657</v>
      </c>
      <c r="C1806" s="128">
        <v>11582.9</v>
      </c>
      <c r="D1806" s="129">
        <f t="shared" si="30"/>
        <v>-0.00262455861658129</v>
      </c>
    </row>
    <row r="1807" ht="14.25" customHeight="1" spans="2:4">
      <c r="B1807" s="136">
        <v>43656</v>
      </c>
      <c r="C1807" s="128">
        <v>11498.9</v>
      </c>
      <c r="D1807" s="129">
        <f t="shared" si="30"/>
        <v>0.00730504656967179</v>
      </c>
    </row>
    <row r="1808" ht="14.25" customHeight="1" spans="2:4">
      <c r="B1808" s="136">
        <v>43655</v>
      </c>
      <c r="C1808" s="128">
        <v>11555.9</v>
      </c>
      <c r="D1808" s="129">
        <f t="shared" si="30"/>
        <v>-0.00493254527990028</v>
      </c>
    </row>
    <row r="1809" ht="14.25" customHeight="1" spans="2:4">
      <c r="B1809" s="136">
        <v>43654</v>
      </c>
      <c r="C1809" s="128">
        <v>11558.6</v>
      </c>
      <c r="D1809" s="129">
        <f t="shared" si="30"/>
        <v>-0.000233592303566232</v>
      </c>
    </row>
    <row r="1810" ht="14.25" customHeight="1" spans="2:4">
      <c r="B1810" s="136">
        <v>43651</v>
      </c>
      <c r="C1810" s="128">
        <v>11811.15</v>
      </c>
      <c r="D1810" s="129">
        <f t="shared" si="30"/>
        <v>-0.0213823378756514</v>
      </c>
    </row>
    <row r="1811" ht="14.25" customHeight="1" spans="2:4">
      <c r="B1811" s="136">
        <v>43650</v>
      </c>
      <c r="C1811" s="128">
        <v>11946.75</v>
      </c>
      <c r="D1811" s="129">
        <f t="shared" si="30"/>
        <v>-0.0113503672546927</v>
      </c>
    </row>
    <row r="1812" ht="14.25" customHeight="1" spans="2:4">
      <c r="B1812" s="136">
        <v>43649</v>
      </c>
      <c r="C1812" s="128">
        <v>11916.75</v>
      </c>
      <c r="D1812" s="129">
        <f t="shared" si="30"/>
        <v>0.00251746491283278</v>
      </c>
    </row>
    <row r="1813" ht="14.25" customHeight="1" spans="2:4">
      <c r="B1813" s="136">
        <v>43648</v>
      </c>
      <c r="C1813" s="128">
        <v>11910.3</v>
      </c>
      <c r="D1813" s="129">
        <f t="shared" si="30"/>
        <v>0.00054154807183715</v>
      </c>
    </row>
    <row r="1814" ht="14.25" customHeight="1" spans="2:4">
      <c r="B1814" s="136">
        <v>43647</v>
      </c>
      <c r="C1814" s="128">
        <v>11865.6</v>
      </c>
      <c r="D1814" s="129">
        <f t="shared" si="30"/>
        <v>0.00376719255663427</v>
      </c>
    </row>
    <row r="1815" ht="14.25" customHeight="1" spans="2:4">
      <c r="B1815" s="136">
        <v>43644</v>
      </c>
      <c r="C1815" s="128">
        <v>11788.85</v>
      </c>
      <c r="D1815" s="129">
        <f t="shared" si="30"/>
        <v>0.00651038905406387</v>
      </c>
    </row>
    <row r="1816" ht="14.25" customHeight="1" spans="2:4">
      <c r="B1816" s="136">
        <v>43643</v>
      </c>
      <c r="C1816" s="128">
        <v>11841.55</v>
      </c>
      <c r="D1816" s="129">
        <f t="shared" si="30"/>
        <v>-0.00445043089798203</v>
      </c>
    </row>
    <row r="1817" ht="14.25" customHeight="1" spans="2:4">
      <c r="B1817" s="136">
        <v>43642</v>
      </c>
      <c r="C1817" s="128">
        <v>11847.55</v>
      </c>
      <c r="D1817" s="129">
        <f t="shared" si="30"/>
        <v>-0.000506433819650431</v>
      </c>
    </row>
    <row r="1818" ht="14.25" customHeight="1" spans="2:4">
      <c r="B1818" s="136">
        <v>43641</v>
      </c>
      <c r="C1818" s="128">
        <v>11796.45</v>
      </c>
      <c r="D1818" s="129">
        <f t="shared" si="30"/>
        <v>0.00433181168910979</v>
      </c>
    </row>
    <row r="1819" ht="14.25" customHeight="1" spans="2:4">
      <c r="B1819" s="136">
        <v>43640</v>
      </c>
      <c r="C1819" s="128">
        <v>11699.65</v>
      </c>
      <c r="D1819" s="129">
        <f t="shared" si="30"/>
        <v>0.00827375177889955</v>
      </c>
    </row>
    <row r="1820" ht="14.25" customHeight="1" spans="2:4">
      <c r="B1820" s="136">
        <v>43637</v>
      </c>
      <c r="C1820" s="128">
        <v>11724.1</v>
      </c>
      <c r="D1820" s="129">
        <f t="shared" si="30"/>
        <v>-0.00208544792350807</v>
      </c>
    </row>
    <row r="1821" ht="14.25" customHeight="1" spans="2:4">
      <c r="B1821" s="136">
        <v>43636</v>
      </c>
      <c r="C1821" s="128">
        <v>11831.75</v>
      </c>
      <c r="D1821" s="129">
        <f t="shared" si="30"/>
        <v>-0.00909840049020638</v>
      </c>
    </row>
    <row r="1822" ht="14.25" customHeight="1" spans="2:4">
      <c r="B1822" s="136">
        <v>43635</v>
      </c>
      <c r="C1822" s="128">
        <v>11691.45</v>
      </c>
      <c r="D1822" s="129">
        <f t="shared" si="30"/>
        <v>0.012000222384734</v>
      </c>
    </row>
    <row r="1823" ht="14.25" customHeight="1" spans="2:4">
      <c r="B1823" s="136">
        <v>43634</v>
      </c>
      <c r="C1823" s="128">
        <v>11691.5</v>
      </c>
      <c r="D1823" s="129">
        <f t="shared" si="30"/>
        <v>-4.27661121316092e-6</v>
      </c>
    </row>
    <row r="1824" ht="14.25" customHeight="1" spans="2:4">
      <c r="B1824" s="136">
        <v>43633</v>
      </c>
      <c r="C1824" s="128">
        <v>11672.15</v>
      </c>
      <c r="D1824" s="129">
        <f t="shared" si="30"/>
        <v>0.00165779226620644</v>
      </c>
    </row>
    <row r="1825" ht="14.25" customHeight="1" spans="2:4">
      <c r="B1825" s="136">
        <v>43630</v>
      </c>
      <c r="C1825" s="128">
        <v>11823.3</v>
      </c>
      <c r="D1825" s="129">
        <f t="shared" si="30"/>
        <v>-0.0127840788950631</v>
      </c>
    </row>
    <row r="1826" ht="14.25" customHeight="1" spans="2:4">
      <c r="B1826" s="136">
        <v>43629</v>
      </c>
      <c r="C1826" s="128">
        <v>11914.05</v>
      </c>
      <c r="D1826" s="129">
        <f t="shared" si="30"/>
        <v>-0.00761705717199446</v>
      </c>
    </row>
    <row r="1827" ht="14.25" customHeight="1" spans="2:4">
      <c r="B1827" s="136">
        <v>43628</v>
      </c>
      <c r="C1827" s="128">
        <v>11906.2</v>
      </c>
      <c r="D1827" s="129">
        <f t="shared" si="30"/>
        <v>0.000659320354101212</v>
      </c>
    </row>
    <row r="1828" ht="14.25" customHeight="1" spans="2:4">
      <c r="B1828" s="136">
        <v>43627</v>
      </c>
      <c r="C1828" s="128">
        <v>11965.6</v>
      </c>
      <c r="D1828" s="129">
        <f t="shared" si="30"/>
        <v>-0.00496423079494546</v>
      </c>
    </row>
    <row r="1829" ht="14.25" customHeight="1" spans="2:4">
      <c r="B1829" s="136">
        <v>43626</v>
      </c>
      <c r="C1829" s="128">
        <v>11922.7</v>
      </c>
      <c r="D1829" s="129">
        <f t="shared" si="30"/>
        <v>0.00359817826499031</v>
      </c>
    </row>
    <row r="1830" ht="14.25" customHeight="1" spans="2:4">
      <c r="B1830" s="136">
        <v>43623</v>
      </c>
      <c r="C1830" s="128">
        <v>11870.65</v>
      </c>
      <c r="D1830" s="129">
        <f t="shared" si="30"/>
        <v>0.00438476410306099</v>
      </c>
    </row>
    <row r="1831" ht="14.25" customHeight="1" spans="2:4">
      <c r="B1831" s="136">
        <v>43622</v>
      </c>
      <c r="C1831" s="128">
        <v>11843.75</v>
      </c>
      <c r="D1831" s="129">
        <f t="shared" si="30"/>
        <v>0.00227124010554092</v>
      </c>
    </row>
    <row r="1832" ht="14.25" customHeight="1" spans="2:4">
      <c r="B1832" s="136">
        <v>43620</v>
      </c>
      <c r="C1832" s="128">
        <v>12021.65</v>
      </c>
      <c r="D1832" s="129">
        <f t="shared" si="30"/>
        <v>-0.0147983013978946</v>
      </c>
    </row>
    <row r="1833" ht="14.25" customHeight="1" spans="2:4">
      <c r="B1833" s="136">
        <v>43619</v>
      </c>
      <c r="C1833" s="128">
        <v>12088.55</v>
      </c>
      <c r="D1833" s="129">
        <f t="shared" si="30"/>
        <v>-0.00553416249260663</v>
      </c>
    </row>
    <row r="1834" ht="14.25" customHeight="1" spans="2:4">
      <c r="B1834" s="136">
        <v>43616</v>
      </c>
      <c r="C1834" s="128">
        <v>11922.8</v>
      </c>
      <c r="D1834" s="129">
        <f t="shared" si="30"/>
        <v>0.0139019357868957</v>
      </c>
    </row>
    <row r="1835" ht="14.25" customHeight="1" spans="2:4">
      <c r="B1835" s="136">
        <v>43615</v>
      </c>
      <c r="C1835" s="128">
        <v>11945.9</v>
      </c>
      <c r="D1835" s="129">
        <f t="shared" si="30"/>
        <v>-0.00193371784461616</v>
      </c>
    </row>
    <row r="1836" ht="14.25" customHeight="1" spans="2:4">
      <c r="B1836" s="136">
        <v>43614</v>
      </c>
      <c r="C1836" s="128">
        <v>11861.1</v>
      </c>
      <c r="D1836" s="129">
        <f t="shared" si="30"/>
        <v>0.00714942121725626</v>
      </c>
    </row>
    <row r="1837" ht="14.25" customHeight="1" spans="2:4">
      <c r="B1837" s="136">
        <v>43613</v>
      </c>
      <c r="C1837" s="128">
        <v>11928.75</v>
      </c>
      <c r="D1837" s="129">
        <f t="shared" si="30"/>
        <v>-0.00567117258723671</v>
      </c>
    </row>
    <row r="1838" ht="14.25" customHeight="1" spans="2:4">
      <c r="B1838" s="136">
        <v>43612</v>
      </c>
      <c r="C1838" s="128">
        <v>11924.75</v>
      </c>
      <c r="D1838" s="129">
        <f t="shared" si="30"/>
        <v>0.000335436801610189</v>
      </c>
    </row>
    <row r="1839" ht="14.25" customHeight="1" spans="2:4">
      <c r="B1839" s="136">
        <v>43609</v>
      </c>
      <c r="C1839" s="128">
        <v>11844.1</v>
      </c>
      <c r="D1839" s="129">
        <f t="shared" si="30"/>
        <v>0.00680929745611736</v>
      </c>
    </row>
    <row r="1840" ht="14.25" customHeight="1" spans="2:4">
      <c r="B1840" s="136">
        <v>43608</v>
      </c>
      <c r="C1840" s="128">
        <v>11657.05</v>
      </c>
      <c r="D1840" s="129">
        <f t="shared" si="30"/>
        <v>0.0160460837004217</v>
      </c>
    </row>
    <row r="1841" ht="14.25" customHeight="1" spans="2:4">
      <c r="B1841" s="136">
        <v>43607</v>
      </c>
      <c r="C1841" s="128">
        <v>11737.9</v>
      </c>
      <c r="D1841" s="129">
        <f t="shared" si="30"/>
        <v>-0.00688794418081606</v>
      </c>
    </row>
    <row r="1842" ht="14.25" customHeight="1" spans="2:4">
      <c r="B1842" s="136">
        <v>43606</v>
      </c>
      <c r="C1842" s="128">
        <v>11709.1</v>
      </c>
      <c r="D1842" s="129">
        <f t="shared" si="30"/>
        <v>0.00245962541954547</v>
      </c>
    </row>
    <row r="1843" ht="14.25" customHeight="1" spans="2:4">
      <c r="B1843" s="136">
        <v>43605</v>
      </c>
      <c r="C1843" s="128">
        <v>11828.25</v>
      </c>
      <c r="D1843" s="129">
        <f t="shared" si="30"/>
        <v>-0.0100733413649525</v>
      </c>
    </row>
    <row r="1844" ht="14.25" customHeight="1" spans="2:4">
      <c r="B1844" s="136">
        <v>43602</v>
      </c>
      <c r="C1844" s="128">
        <v>11407.15</v>
      </c>
      <c r="D1844" s="129">
        <f t="shared" si="30"/>
        <v>0.0369154433841932</v>
      </c>
    </row>
    <row r="1845" ht="14.25" customHeight="1" spans="2:4">
      <c r="B1845" s="136">
        <v>43601</v>
      </c>
      <c r="C1845" s="128">
        <v>11257.1</v>
      </c>
      <c r="D1845" s="129">
        <f t="shared" si="30"/>
        <v>0.0133293654671274</v>
      </c>
    </row>
    <row r="1846" ht="14.25" customHeight="1" spans="2:4">
      <c r="B1846" s="136">
        <v>43600</v>
      </c>
      <c r="C1846" s="128">
        <v>11157</v>
      </c>
      <c r="D1846" s="129">
        <f t="shared" si="30"/>
        <v>0.00897194586358352</v>
      </c>
    </row>
    <row r="1847" ht="14.25" customHeight="1" spans="2:4">
      <c r="B1847" s="136">
        <v>43599</v>
      </c>
      <c r="C1847" s="128">
        <v>11222.05</v>
      </c>
      <c r="D1847" s="129">
        <f t="shared" si="30"/>
        <v>-0.00579662361155042</v>
      </c>
    </row>
    <row r="1848" ht="14.25" customHeight="1" spans="2:4">
      <c r="B1848" s="136">
        <v>43598</v>
      </c>
      <c r="C1848" s="128">
        <v>11148.2</v>
      </c>
      <c r="D1848" s="129">
        <f t="shared" si="30"/>
        <v>0.00662438779354502</v>
      </c>
    </row>
    <row r="1849" ht="14.25" customHeight="1" spans="2:4">
      <c r="B1849" s="136">
        <v>43595</v>
      </c>
      <c r="C1849" s="128">
        <v>11278.9</v>
      </c>
      <c r="D1849" s="129">
        <f t="shared" si="30"/>
        <v>-0.0115880094690084</v>
      </c>
    </row>
    <row r="1850" ht="14.25" customHeight="1" spans="2:4">
      <c r="B1850" s="136">
        <v>43594</v>
      </c>
      <c r="C1850" s="128">
        <v>11301.8</v>
      </c>
      <c r="D1850" s="129">
        <f t="shared" si="30"/>
        <v>-0.00202622591091683</v>
      </c>
    </row>
    <row r="1851" ht="14.25" customHeight="1" spans="2:4">
      <c r="B1851" s="136">
        <v>43593</v>
      </c>
      <c r="C1851" s="128">
        <v>11359.45</v>
      </c>
      <c r="D1851" s="129">
        <f t="shared" si="30"/>
        <v>-0.00507506965566129</v>
      </c>
    </row>
    <row r="1852" ht="14.25" customHeight="1" spans="2:4">
      <c r="B1852" s="136">
        <v>43592</v>
      </c>
      <c r="C1852" s="128">
        <v>11497.9</v>
      </c>
      <c r="D1852" s="129">
        <f t="shared" si="30"/>
        <v>-0.0120413292862174</v>
      </c>
    </row>
    <row r="1853" ht="14.25" customHeight="1" spans="2:4">
      <c r="B1853" s="136">
        <v>43591</v>
      </c>
      <c r="C1853" s="128">
        <v>11598.25</v>
      </c>
      <c r="D1853" s="129">
        <f t="shared" si="30"/>
        <v>-0.00865216735283347</v>
      </c>
    </row>
    <row r="1854" ht="14.25" customHeight="1" spans="2:4">
      <c r="B1854" s="136">
        <v>43588</v>
      </c>
      <c r="C1854" s="128">
        <v>11712.25</v>
      </c>
      <c r="D1854" s="129">
        <f t="shared" si="30"/>
        <v>-0.00973339879186319</v>
      </c>
    </row>
    <row r="1855" ht="14.25" customHeight="1" spans="2:4">
      <c r="B1855" s="136">
        <v>43587</v>
      </c>
      <c r="C1855" s="128">
        <v>11724.75</v>
      </c>
      <c r="D1855" s="129">
        <f t="shared" si="30"/>
        <v>-0.00106612081281054</v>
      </c>
    </row>
    <row r="1856" ht="14.25" customHeight="1" spans="2:4">
      <c r="B1856" s="136">
        <v>43585</v>
      </c>
      <c r="C1856" s="128">
        <v>11748.15</v>
      </c>
      <c r="D1856" s="129">
        <f t="shared" si="30"/>
        <v>-0.00199180296472212</v>
      </c>
    </row>
    <row r="1857" ht="14.25" customHeight="1" spans="2:4">
      <c r="B1857" s="136">
        <v>43581</v>
      </c>
      <c r="C1857" s="128">
        <v>11754.65</v>
      </c>
      <c r="D1857" s="129">
        <f t="shared" si="30"/>
        <v>-0.000552972653375505</v>
      </c>
    </row>
    <row r="1858" ht="14.25" customHeight="1" spans="2:4">
      <c r="B1858" s="136">
        <v>43580</v>
      </c>
      <c r="C1858" s="128">
        <v>11641.8</v>
      </c>
      <c r="D1858" s="129">
        <f t="shared" ref="D1858:D1921" si="31">C1857/C1858-1</f>
        <v>0.00969351818447328</v>
      </c>
    </row>
    <row r="1859" ht="14.25" customHeight="1" spans="2:4">
      <c r="B1859" s="136">
        <v>43579</v>
      </c>
      <c r="C1859" s="128">
        <v>11726.15</v>
      </c>
      <c r="D1859" s="129">
        <f t="shared" si="31"/>
        <v>-0.00719332432213471</v>
      </c>
    </row>
    <row r="1860" ht="14.25" customHeight="1" spans="2:4">
      <c r="B1860" s="136">
        <v>43578</v>
      </c>
      <c r="C1860" s="128">
        <v>11575.95</v>
      </c>
      <c r="D1860" s="129">
        <f t="shared" si="31"/>
        <v>0.0129751769833144</v>
      </c>
    </row>
    <row r="1861" ht="14.25" customHeight="1" spans="2:4">
      <c r="B1861" s="136">
        <v>43577</v>
      </c>
      <c r="C1861" s="128">
        <v>11594.45</v>
      </c>
      <c r="D1861" s="129">
        <f t="shared" si="31"/>
        <v>-0.00159559099396689</v>
      </c>
    </row>
    <row r="1862" ht="14.25" customHeight="1" spans="2:4">
      <c r="B1862" s="136">
        <v>43573</v>
      </c>
      <c r="C1862" s="128">
        <v>11752.8</v>
      </c>
      <c r="D1862" s="129">
        <f t="shared" si="31"/>
        <v>-0.0134733850656864</v>
      </c>
    </row>
    <row r="1863" ht="14.25" customHeight="1" spans="2:4">
      <c r="B1863" s="136">
        <v>43571</v>
      </c>
      <c r="C1863" s="128">
        <v>11787.15</v>
      </c>
      <c r="D1863" s="129">
        <f t="shared" si="31"/>
        <v>-0.00291419045316299</v>
      </c>
    </row>
    <row r="1864" ht="14.25" customHeight="1" spans="2:4">
      <c r="B1864" s="136">
        <v>43570</v>
      </c>
      <c r="C1864" s="128">
        <v>11690.35</v>
      </c>
      <c r="D1864" s="129">
        <f t="shared" si="31"/>
        <v>0.00828033377957027</v>
      </c>
    </row>
    <row r="1865" ht="14.25" customHeight="1" spans="2:4">
      <c r="B1865" s="136">
        <v>43567</v>
      </c>
      <c r="C1865" s="128">
        <v>11643.45</v>
      </c>
      <c r="D1865" s="129">
        <f t="shared" si="31"/>
        <v>0.00402801575134504</v>
      </c>
    </row>
    <row r="1866" ht="14.25" customHeight="1" spans="2:4">
      <c r="B1866" s="136">
        <v>43566</v>
      </c>
      <c r="C1866" s="128">
        <v>11596.7</v>
      </c>
      <c r="D1866" s="129">
        <f t="shared" si="31"/>
        <v>0.00403131925461553</v>
      </c>
    </row>
    <row r="1867" ht="14.25" customHeight="1" spans="2:4">
      <c r="B1867" s="136">
        <v>43565</v>
      </c>
      <c r="C1867" s="128">
        <v>11584.3</v>
      </c>
      <c r="D1867" s="129">
        <f t="shared" si="31"/>
        <v>0.00107041426758636</v>
      </c>
    </row>
    <row r="1868" ht="14.25" customHeight="1" spans="2:4">
      <c r="B1868" s="136">
        <v>43564</v>
      </c>
      <c r="C1868" s="128">
        <v>11671.95</v>
      </c>
      <c r="D1868" s="129">
        <f t="shared" si="31"/>
        <v>-0.00750945643187317</v>
      </c>
    </row>
    <row r="1869" ht="14.25" customHeight="1" spans="2:4">
      <c r="B1869" s="136">
        <v>43563</v>
      </c>
      <c r="C1869" s="128">
        <v>11604.5</v>
      </c>
      <c r="D1869" s="129">
        <f t="shared" si="31"/>
        <v>0.00581240036192865</v>
      </c>
    </row>
    <row r="1870" ht="14.25" customHeight="1" spans="2:4">
      <c r="B1870" s="136">
        <v>43560</v>
      </c>
      <c r="C1870" s="128">
        <v>11665.95</v>
      </c>
      <c r="D1870" s="129">
        <f t="shared" si="31"/>
        <v>-0.0052674664300808</v>
      </c>
    </row>
    <row r="1871" ht="14.25" customHeight="1" spans="2:4">
      <c r="B1871" s="136">
        <v>43559</v>
      </c>
      <c r="C1871" s="128">
        <v>11598</v>
      </c>
      <c r="D1871" s="129">
        <f t="shared" si="31"/>
        <v>0.00585876875323343</v>
      </c>
    </row>
    <row r="1872" ht="14.25" customHeight="1" spans="2:4">
      <c r="B1872" s="136">
        <v>43558</v>
      </c>
      <c r="C1872" s="128">
        <v>11643.95</v>
      </c>
      <c r="D1872" s="129">
        <f t="shared" si="31"/>
        <v>-0.00394625535149162</v>
      </c>
    </row>
    <row r="1873" ht="14.25" customHeight="1" spans="2:4">
      <c r="B1873" s="136">
        <v>43557</v>
      </c>
      <c r="C1873" s="128">
        <v>11713.2</v>
      </c>
      <c r="D1873" s="129">
        <f t="shared" si="31"/>
        <v>-0.00591213331967355</v>
      </c>
    </row>
    <row r="1874" ht="14.25" customHeight="1" spans="2:4">
      <c r="B1874" s="136">
        <v>43556</v>
      </c>
      <c r="C1874" s="128">
        <v>11669.15</v>
      </c>
      <c r="D1874" s="129">
        <f t="shared" si="31"/>
        <v>0.0037749107689935</v>
      </c>
    </row>
    <row r="1875" ht="14.25" customHeight="1" spans="2:4">
      <c r="B1875" s="136">
        <v>43553</v>
      </c>
      <c r="C1875" s="128">
        <v>11623.9</v>
      </c>
      <c r="D1875" s="129">
        <f t="shared" si="31"/>
        <v>0.00389284147317159</v>
      </c>
    </row>
    <row r="1876" ht="14.25" customHeight="1" spans="2:4">
      <c r="B1876" s="136">
        <v>43552</v>
      </c>
      <c r="C1876" s="128">
        <v>11570</v>
      </c>
      <c r="D1876" s="129">
        <f t="shared" si="31"/>
        <v>0.00465859982713912</v>
      </c>
    </row>
    <row r="1877" ht="14.25" customHeight="1" spans="2:4">
      <c r="B1877" s="136">
        <v>43551</v>
      </c>
      <c r="C1877" s="128">
        <v>11445.05</v>
      </c>
      <c r="D1877" s="129">
        <f t="shared" si="31"/>
        <v>0.0109173834976695</v>
      </c>
    </row>
    <row r="1878" ht="14.25" customHeight="1" spans="2:4">
      <c r="B1878" s="136">
        <v>43550</v>
      </c>
      <c r="C1878" s="128">
        <v>11483.25</v>
      </c>
      <c r="D1878" s="129">
        <f t="shared" si="31"/>
        <v>-0.00332658437289102</v>
      </c>
    </row>
    <row r="1879" ht="14.25" customHeight="1" spans="2:4">
      <c r="B1879" s="136">
        <v>43549</v>
      </c>
      <c r="C1879" s="128">
        <v>11354.25</v>
      </c>
      <c r="D1879" s="129">
        <f t="shared" si="31"/>
        <v>0.0113613845036</v>
      </c>
    </row>
    <row r="1880" ht="14.25" customHeight="1" spans="2:4">
      <c r="B1880" s="136">
        <v>43546</v>
      </c>
      <c r="C1880" s="128">
        <v>11456.9</v>
      </c>
      <c r="D1880" s="129">
        <f t="shared" si="31"/>
        <v>-0.0089596662273389</v>
      </c>
    </row>
    <row r="1881" ht="14.25" customHeight="1" spans="2:4">
      <c r="B1881" s="136">
        <v>43544</v>
      </c>
      <c r="C1881" s="128">
        <v>11521.05</v>
      </c>
      <c r="D1881" s="129">
        <f t="shared" si="31"/>
        <v>-0.00556806888261052</v>
      </c>
    </row>
    <row r="1882" ht="14.25" customHeight="1" spans="2:4">
      <c r="B1882" s="136">
        <v>43543</v>
      </c>
      <c r="C1882" s="128">
        <v>11532.4</v>
      </c>
      <c r="D1882" s="129">
        <f t="shared" si="31"/>
        <v>-0.000984183691165819</v>
      </c>
    </row>
    <row r="1883" ht="14.25" customHeight="1" spans="2:4">
      <c r="B1883" s="136">
        <v>43542</v>
      </c>
      <c r="C1883" s="128">
        <v>11462.2</v>
      </c>
      <c r="D1883" s="129">
        <f t="shared" si="31"/>
        <v>0.00612447872136235</v>
      </c>
    </row>
    <row r="1884" ht="14.25" customHeight="1" spans="2:4">
      <c r="B1884" s="136">
        <v>43539</v>
      </c>
      <c r="C1884" s="128">
        <v>11426.85</v>
      </c>
      <c r="D1884" s="129">
        <f t="shared" si="31"/>
        <v>0.00309359097214013</v>
      </c>
    </row>
    <row r="1885" ht="14.25" customHeight="1" spans="2:4">
      <c r="B1885" s="136">
        <v>43538</v>
      </c>
      <c r="C1885" s="128">
        <v>11343.25</v>
      </c>
      <c r="D1885" s="129">
        <f t="shared" si="31"/>
        <v>0.00737002181914348</v>
      </c>
    </row>
    <row r="1886" ht="14.25" customHeight="1" spans="2:4">
      <c r="B1886" s="136">
        <v>43537</v>
      </c>
      <c r="C1886" s="128">
        <v>11341.7</v>
      </c>
      <c r="D1886" s="129">
        <f t="shared" si="31"/>
        <v>0.000136663815829996</v>
      </c>
    </row>
    <row r="1887" ht="14.25" customHeight="1" spans="2:4">
      <c r="B1887" s="136">
        <v>43536</v>
      </c>
      <c r="C1887" s="128">
        <v>11301.2</v>
      </c>
      <c r="D1887" s="129">
        <f t="shared" si="31"/>
        <v>0.00358369022758653</v>
      </c>
    </row>
    <row r="1888" ht="14.25" customHeight="1" spans="2:4">
      <c r="B1888" s="136">
        <v>43535</v>
      </c>
      <c r="C1888" s="128">
        <v>11168.05</v>
      </c>
      <c r="D1888" s="129">
        <f t="shared" si="31"/>
        <v>0.0119224036425341</v>
      </c>
    </row>
    <row r="1889" ht="14.25" customHeight="1" spans="2:4">
      <c r="B1889" s="136">
        <v>43532</v>
      </c>
      <c r="C1889" s="128">
        <v>11035.4</v>
      </c>
      <c r="D1889" s="129">
        <f t="shared" si="31"/>
        <v>0.0120204070536636</v>
      </c>
    </row>
    <row r="1890" ht="14.25" customHeight="1" spans="2:4">
      <c r="B1890" s="136">
        <v>43531</v>
      </c>
      <c r="C1890" s="128">
        <v>11058.2</v>
      </c>
      <c r="D1890" s="129">
        <f t="shared" si="31"/>
        <v>-0.00206181837912145</v>
      </c>
    </row>
    <row r="1891" ht="14.25" customHeight="1" spans="2:4">
      <c r="B1891" s="136">
        <v>43530</v>
      </c>
      <c r="C1891" s="128">
        <v>11053</v>
      </c>
      <c r="D1891" s="129">
        <f t="shared" si="31"/>
        <v>0.000470460508459336</v>
      </c>
    </row>
    <row r="1892" ht="14.25" customHeight="1" spans="2:4">
      <c r="B1892" s="136">
        <v>43529</v>
      </c>
      <c r="C1892" s="128">
        <v>10987.45</v>
      </c>
      <c r="D1892" s="129">
        <f t="shared" si="31"/>
        <v>0.0059658974557335</v>
      </c>
    </row>
    <row r="1893" ht="14.25" customHeight="1" spans="2:4">
      <c r="B1893" s="136">
        <v>43525</v>
      </c>
      <c r="C1893" s="128">
        <v>10863.5</v>
      </c>
      <c r="D1893" s="129">
        <f t="shared" si="31"/>
        <v>0.0114097666497905</v>
      </c>
    </row>
    <row r="1894" ht="14.25" customHeight="1" spans="2:4">
      <c r="B1894" s="136">
        <v>43524</v>
      </c>
      <c r="C1894" s="128">
        <v>10792.5</v>
      </c>
      <c r="D1894" s="129">
        <f t="shared" si="31"/>
        <v>0.00657864257586294</v>
      </c>
    </row>
    <row r="1895" ht="14.25" customHeight="1" spans="2:4">
      <c r="B1895" s="136">
        <v>43523</v>
      </c>
      <c r="C1895" s="128">
        <v>10806.65</v>
      </c>
      <c r="D1895" s="129">
        <f t="shared" si="31"/>
        <v>-0.00130937894722227</v>
      </c>
    </row>
    <row r="1896" ht="14.25" customHeight="1" spans="2:4">
      <c r="B1896" s="136">
        <v>43522</v>
      </c>
      <c r="C1896" s="128">
        <v>10835.3</v>
      </c>
      <c r="D1896" s="129">
        <f t="shared" si="31"/>
        <v>-0.00264413537234776</v>
      </c>
    </row>
    <row r="1897" ht="14.25" customHeight="1" spans="2:4">
      <c r="B1897" s="136">
        <v>43521</v>
      </c>
      <c r="C1897" s="128">
        <v>10880.1</v>
      </c>
      <c r="D1897" s="129">
        <f t="shared" si="31"/>
        <v>-0.00411760921315074</v>
      </c>
    </row>
    <row r="1898" ht="14.25" customHeight="1" spans="2:4">
      <c r="B1898" s="136">
        <v>43518</v>
      </c>
      <c r="C1898" s="128">
        <v>10791.65</v>
      </c>
      <c r="D1898" s="129">
        <f t="shared" si="31"/>
        <v>0.00819615165428833</v>
      </c>
    </row>
    <row r="1899" ht="14.25" customHeight="1" spans="2:4">
      <c r="B1899" s="136">
        <v>43517</v>
      </c>
      <c r="C1899" s="128">
        <v>10789.85</v>
      </c>
      <c r="D1899" s="129">
        <f t="shared" si="31"/>
        <v>0.000166823449816222</v>
      </c>
    </row>
    <row r="1900" ht="14.25" customHeight="1" spans="2:4">
      <c r="B1900" s="136">
        <v>43516</v>
      </c>
      <c r="C1900" s="128">
        <v>10735.45</v>
      </c>
      <c r="D1900" s="129">
        <f t="shared" si="31"/>
        <v>0.00506732367995744</v>
      </c>
    </row>
    <row r="1901" ht="14.25" customHeight="1" spans="2:4">
      <c r="B1901" s="136">
        <v>43515</v>
      </c>
      <c r="C1901" s="128">
        <v>10604.35</v>
      </c>
      <c r="D1901" s="129">
        <f t="shared" si="31"/>
        <v>0.0123628510941265</v>
      </c>
    </row>
    <row r="1902" ht="14.25" customHeight="1" spans="2:4">
      <c r="B1902" s="136">
        <v>43514</v>
      </c>
      <c r="C1902" s="128">
        <v>10640.95</v>
      </c>
      <c r="D1902" s="129">
        <f t="shared" si="31"/>
        <v>-0.00343954252204925</v>
      </c>
    </row>
    <row r="1903" ht="14.25" customHeight="1" spans="2:4">
      <c r="B1903" s="136">
        <v>43511</v>
      </c>
      <c r="C1903" s="128">
        <v>10724.4</v>
      </c>
      <c r="D1903" s="129">
        <f t="shared" si="31"/>
        <v>-0.00778132109954854</v>
      </c>
    </row>
    <row r="1904" ht="14.25" customHeight="1" spans="2:4">
      <c r="B1904" s="136">
        <v>43510</v>
      </c>
      <c r="C1904" s="128">
        <v>10746.05</v>
      </c>
      <c r="D1904" s="129">
        <f t="shared" si="31"/>
        <v>-0.00201469377119967</v>
      </c>
    </row>
    <row r="1905" ht="14.25" customHeight="1" spans="2:4">
      <c r="B1905" s="136">
        <v>43509</v>
      </c>
      <c r="C1905" s="128">
        <v>10793.65</v>
      </c>
      <c r="D1905" s="129">
        <f t="shared" si="31"/>
        <v>-0.00441000032426475</v>
      </c>
    </row>
    <row r="1906" ht="14.25" customHeight="1" spans="2:4">
      <c r="B1906" s="136">
        <v>43508</v>
      </c>
      <c r="C1906" s="128">
        <v>10831.4</v>
      </c>
      <c r="D1906" s="129">
        <f t="shared" si="31"/>
        <v>-0.00348523736543749</v>
      </c>
    </row>
    <row r="1907" ht="14.25" customHeight="1" spans="2:4">
      <c r="B1907" s="136">
        <v>43507</v>
      </c>
      <c r="C1907" s="128">
        <v>10888.8</v>
      </c>
      <c r="D1907" s="129">
        <f t="shared" si="31"/>
        <v>-0.00527147160384978</v>
      </c>
    </row>
    <row r="1908" ht="14.25" customHeight="1" spans="2:4">
      <c r="B1908" s="136">
        <v>43504</v>
      </c>
      <c r="C1908" s="128">
        <v>10943.6</v>
      </c>
      <c r="D1908" s="129">
        <f t="shared" si="31"/>
        <v>-0.00500749296392422</v>
      </c>
    </row>
    <row r="1909" ht="14.25" customHeight="1" spans="2:4">
      <c r="B1909" s="136">
        <v>43503</v>
      </c>
      <c r="C1909" s="128">
        <v>11069.4</v>
      </c>
      <c r="D1909" s="129">
        <f t="shared" si="31"/>
        <v>-0.0113646629446943</v>
      </c>
    </row>
    <row r="1910" ht="14.25" customHeight="1" spans="2:4">
      <c r="B1910" s="136">
        <v>43502</v>
      </c>
      <c r="C1910" s="128">
        <v>11062.45</v>
      </c>
      <c r="D1910" s="129">
        <f t="shared" si="31"/>
        <v>0.000628251427124971</v>
      </c>
    </row>
    <row r="1911" ht="14.25" customHeight="1" spans="2:4">
      <c r="B1911" s="136">
        <v>43501</v>
      </c>
      <c r="C1911" s="128">
        <v>10934.35</v>
      </c>
      <c r="D1911" s="129">
        <f t="shared" si="31"/>
        <v>0.01171537402772</v>
      </c>
    </row>
    <row r="1912" ht="14.25" customHeight="1" spans="2:4">
      <c r="B1912" s="136">
        <v>43500</v>
      </c>
      <c r="C1912" s="128">
        <v>10912.25</v>
      </c>
      <c r="D1912" s="129">
        <f t="shared" si="31"/>
        <v>0.00202524685559813</v>
      </c>
    </row>
    <row r="1913" ht="14.25" customHeight="1" spans="2:4">
      <c r="B1913" s="136">
        <v>43497</v>
      </c>
      <c r="C1913" s="128">
        <v>10893.65</v>
      </c>
      <c r="D1913" s="129">
        <f t="shared" si="31"/>
        <v>0.00170741670606267</v>
      </c>
    </row>
    <row r="1914" ht="14.25" customHeight="1" spans="2:4">
      <c r="B1914" s="136">
        <v>43496</v>
      </c>
      <c r="C1914" s="128">
        <v>10830.95</v>
      </c>
      <c r="D1914" s="129">
        <f t="shared" si="31"/>
        <v>0.00578896588018574</v>
      </c>
    </row>
    <row r="1915" ht="14.25" customHeight="1" spans="2:4">
      <c r="B1915" s="136">
        <v>43495</v>
      </c>
      <c r="C1915" s="128">
        <v>10651.8</v>
      </c>
      <c r="D1915" s="129">
        <f t="shared" si="31"/>
        <v>0.016818753637883</v>
      </c>
    </row>
    <row r="1916" ht="14.25" customHeight="1" spans="2:4">
      <c r="B1916" s="136">
        <v>43494</v>
      </c>
      <c r="C1916" s="128">
        <v>10652.2</v>
      </c>
      <c r="D1916" s="129">
        <f t="shared" si="31"/>
        <v>-3.75509284468167e-5</v>
      </c>
    </row>
    <row r="1917" ht="14.25" customHeight="1" spans="2:4">
      <c r="B1917" s="136">
        <v>43493</v>
      </c>
      <c r="C1917" s="128">
        <v>10661.55</v>
      </c>
      <c r="D1917" s="129">
        <f t="shared" si="31"/>
        <v>-0.000876983177867996</v>
      </c>
    </row>
    <row r="1918" ht="14.25" customHeight="1" spans="2:4">
      <c r="B1918" s="136">
        <v>43490</v>
      </c>
      <c r="C1918" s="128">
        <v>10780.55</v>
      </c>
      <c r="D1918" s="129">
        <f t="shared" si="31"/>
        <v>-0.011038397855397</v>
      </c>
    </row>
    <row r="1919" ht="14.25" customHeight="1" spans="2:4">
      <c r="B1919" s="136">
        <v>43489</v>
      </c>
      <c r="C1919" s="128">
        <v>10849.8</v>
      </c>
      <c r="D1919" s="129">
        <f t="shared" si="31"/>
        <v>-0.00638260613098862</v>
      </c>
    </row>
    <row r="1920" ht="14.25" customHeight="1" spans="2:4">
      <c r="B1920" s="136">
        <v>43488</v>
      </c>
      <c r="C1920" s="128">
        <v>10831.5</v>
      </c>
      <c r="D1920" s="129">
        <f t="shared" si="31"/>
        <v>0.00168951668743933</v>
      </c>
    </row>
    <row r="1921" ht="14.25" customHeight="1" spans="2:4">
      <c r="B1921" s="136">
        <v>43487</v>
      </c>
      <c r="C1921" s="128">
        <v>10922.75</v>
      </c>
      <c r="D1921" s="129">
        <f t="shared" si="31"/>
        <v>-0.00835412327481633</v>
      </c>
    </row>
    <row r="1922" ht="14.25" customHeight="1" spans="2:4">
      <c r="B1922" s="136">
        <v>43486</v>
      </c>
      <c r="C1922" s="128">
        <v>10961.85</v>
      </c>
      <c r="D1922" s="129">
        <f t="shared" ref="D1922:D1985" si="32">C1921/C1922-1</f>
        <v>-0.00356691616834748</v>
      </c>
    </row>
    <row r="1923" ht="14.25" customHeight="1" spans="2:4">
      <c r="B1923" s="136">
        <v>43483</v>
      </c>
      <c r="C1923" s="128">
        <v>10906.95</v>
      </c>
      <c r="D1923" s="129">
        <f t="shared" si="32"/>
        <v>0.00503348782198509</v>
      </c>
    </row>
    <row r="1924" ht="14.25" customHeight="1" spans="2:4">
      <c r="B1924" s="136">
        <v>43482</v>
      </c>
      <c r="C1924" s="128">
        <v>10905.2</v>
      </c>
      <c r="D1924" s="129">
        <f t="shared" si="32"/>
        <v>0.000160473902358405</v>
      </c>
    </row>
    <row r="1925" ht="14.25" customHeight="1" spans="2:4">
      <c r="B1925" s="136">
        <v>43481</v>
      </c>
      <c r="C1925" s="128">
        <v>10890.3</v>
      </c>
      <c r="D1925" s="129">
        <f t="shared" si="32"/>
        <v>0.00136819004067856</v>
      </c>
    </row>
    <row r="1926" ht="14.25" customHeight="1" spans="2:4">
      <c r="B1926" s="136">
        <v>43480</v>
      </c>
      <c r="C1926" s="128">
        <v>10886.8</v>
      </c>
      <c r="D1926" s="129">
        <f t="shared" si="32"/>
        <v>0.000321490245067446</v>
      </c>
    </row>
    <row r="1927" ht="14.25" customHeight="1" spans="2:4">
      <c r="B1927" s="136">
        <v>43479</v>
      </c>
      <c r="C1927" s="128">
        <v>10737.6</v>
      </c>
      <c r="D1927" s="129">
        <f t="shared" si="32"/>
        <v>0.0138950976009535</v>
      </c>
    </row>
    <row r="1928" ht="14.25" customHeight="1" spans="2:4">
      <c r="B1928" s="136">
        <v>43476</v>
      </c>
      <c r="C1928" s="128">
        <v>10794.95</v>
      </c>
      <c r="D1928" s="129">
        <f t="shared" si="32"/>
        <v>-0.00531266935002017</v>
      </c>
    </row>
    <row r="1929" ht="14.25" customHeight="1" spans="2:4">
      <c r="B1929" s="136">
        <v>43475</v>
      </c>
      <c r="C1929" s="128">
        <v>10821.6</v>
      </c>
      <c r="D1929" s="129">
        <f t="shared" si="32"/>
        <v>-0.00246266725807642</v>
      </c>
    </row>
    <row r="1930" ht="14.25" customHeight="1" spans="2:4">
      <c r="B1930" s="136">
        <v>43474</v>
      </c>
      <c r="C1930" s="128">
        <v>10855.15</v>
      </c>
      <c r="D1930" s="129">
        <f t="shared" si="32"/>
        <v>-0.00309069888486102</v>
      </c>
    </row>
    <row r="1931" ht="14.25" customHeight="1" spans="2:4">
      <c r="B1931" s="136">
        <v>43473</v>
      </c>
      <c r="C1931" s="128">
        <v>10802.15</v>
      </c>
      <c r="D1931" s="129">
        <f t="shared" si="32"/>
        <v>0.00490643066426588</v>
      </c>
    </row>
    <row r="1932" ht="14.25" customHeight="1" spans="2:4">
      <c r="B1932" s="136">
        <v>43472</v>
      </c>
      <c r="C1932" s="128">
        <v>10771.8</v>
      </c>
      <c r="D1932" s="129">
        <f t="shared" si="32"/>
        <v>0.0028175421006702</v>
      </c>
    </row>
    <row r="1933" ht="14.25" customHeight="1" spans="2:4">
      <c r="B1933" s="136">
        <v>43469</v>
      </c>
      <c r="C1933" s="128">
        <v>10727.35</v>
      </c>
      <c r="D1933" s="129">
        <f t="shared" si="32"/>
        <v>0.00414361421972798</v>
      </c>
    </row>
    <row r="1934" ht="14.25" customHeight="1" spans="2:4">
      <c r="B1934" s="136">
        <v>43468</v>
      </c>
      <c r="C1934" s="128">
        <v>10672.25</v>
      </c>
      <c r="D1934" s="129">
        <f t="shared" si="32"/>
        <v>0.00516292253273676</v>
      </c>
    </row>
    <row r="1935" ht="14.25" customHeight="1" spans="2:4">
      <c r="B1935" s="136">
        <v>43467</v>
      </c>
      <c r="C1935" s="128">
        <v>10792.5</v>
      </c>
      <c r="D1935" s="129">
        <f t="shared" si="32"/>
        <v>-0.0111419967570072</v>
      </c>
    </row>
    <row r="1936" ht="14.25" customHeight="1" spans="2:4">
      <c r="B1936" s="136">
        <v>43466</v>
      </c>
      <c r="C1936" s="128">
        <v>10910.1</v>
      </c>
      <c r="D1936" s="129">
        <f t="shared" si="32"/>
        <v>-0.0107790029422279</v>
      </c>
    </row>
    <row r="1937" ht="14.25" customHeight="1" spans="2:4">
      <c r="B1937" s="136">
        <v>43465</v>
      </c>
      <c r="C1937" s="128">
        <v>10862.55</v>
      </c>
      <c r="D1937" s="129">
        <f t="shared" si="32"/>
        <v>0.00437742519021778</v>
      </c>
    </row>
    <row r="1938" ht="14.25" customHeight="1" spans="2:4">
      <c r="B1938" s="136">
        <v>43462</v>
      </c>
      <c r="C1938" s="128">
        <v>10859.9</v>
      </c>
      <c r="D1938" s="129">
        <f t="shared" si="32"/>
        <v>0.000244016979898509</v>
      </c>
    </row>
    <row r="1939" ht="14.25" customHeight="1" spans="2:4">
      <c r="B1939" s="136">
        <v>43461</v>
      </c>
      <c r="C1939" s="128">
        <v>10779.8</v>
      </c>
      <c r="D1939" s="129">
        <f t="shared" si="32"/>
        <v>0.00743056457448188</v>
      </c>
    </row>
    <row r="1940" ht="14.25" customHeight="1" spans="2:4">
      <c r="B1940" s="136">
        <v>43460</v>
      </c>
      <c r="C1940" s="128">
        <v>10729.85</v>
      </c>
      <c r="D1940" s="129">
        <f t="shared" si="32"/>
        <v>0.00465523749167041</v>
      </c>
    </row>
    <row r="1941" ht="14.25" customHeight="1" spans="2:4">
      <c r="B1941" s="136">
        <v>43458</v>
      </c>
      <c r="C1941" s="128">
        <v>10663.5</v>
      </c>
      <c r="D1941" s="129">
        <f t="shared" si="32"/>
        <v>0.00622215970366202</v>
      </c>
    </row>
    <row r="1942" ht="14.25" customHeight="1" spans="2:4">
      <c r="B1942" s="136">
        <v>43455</v>
      </c>
      <c r="C1942" s="128">
        <v>10754</v>
      </c>
      <c r="D1942" s="129">
        <f t="shared" si="32"/>
        <v>-0.00841547331225589</v>
      </c>
    </row>
    <row r="1943" ht="14.25" customHeight="1" spans="2:4">
      <c r="B1943" s="136">
        <v>43454</v>
      </c>
      <c r="C1943" s="128">
        <v>10951.7</v>
      </c>
      <c r="D1943" s="129">
        <f t="shared" si="32"/>
        <v>-0.0180519919281938</v>
      </c>
    </row>
    <row r="1944" ht="14.25" customHeight="1" spans="2:4">
      <c r="B1944" s="136">
        <v>43453</v>
      </c>
      <c r="C1944" s="128">
        <v>10967.3</v>
      </c>
      <c r="D1944" s="129">
        <f t="shared" si="32"/>
        <v>-0.00142241025594259</v>
      </c>
    </row>
    <row r="1945" ht="14.25" customHeight="1" spans="2:4">
      <c r="B1945" s="136">
        <v>43452</v>
      </c>
      <c r="C1945" s="128">
        <v>10908.7</v>
      </c>
      <c r="D1945" s="129">
        <f t="shared" si="32"/>
        <v>0.00537185915828631</v>
      </c>
    </row>
    <row r="1946" ht="14.25" customHeight="1" spans="2:4">
      <c r="B1946" s="136">
        <v>43451</v>
      </c>
      <c r="C1946" s="128">
        <v>10888.35</v>
      </c>
      <c r="D1946" s="129">
        <f t="shared" si="32"/>
        <v>0.00186897004596664</v>
      </c>
    </row>
    <row r="1947" ht="14.25" customHeight="1" spans="2:4">
      <c r="B1947" s="136">
        <v>43448</v>
      </c>
      <c r="C1947" s="128">
        <v>10805.45</v>
      </c>
      <c r="D1947" s="129">
        <f t="shared" si="32"/>
        <v>0.00767205437996554</v>
      </c>
    </row>
    <row r="1948" ht="14.25" customHeight="1" spans="2:4">
      <c r="B1948" s="136">
        <v>43447</v>
      </c>
      <c r="C1948" s="128">
        <v>10791.55</v>
      </c>
      <c r="D1948" s="129">
        <f t="shared" si="32"/>
        <v>0.00128804481283984</v>
      </c>
    </row>
    <row r="1949" ht="14.25" customHeight="1" spans="2:4">
      <c r="B1949" s="136">
        <v>43446</v>
      </c>
      <c r="C1949" s="128">
        <v>10737.6</v>
      </c>
      <c r="D1949" s="129">
        <f t="shared" si="32"/>
        <v>0.00502440023841455</v>
      </c>
    </row>
    <row r="1950" ht="14.25" customHeight="1" spans="2:4">
      <c r="B1950" s="136">
        <v>43445</v>
      </c>
      <c r="C1950" s="128">
        <v>10549.15</v>
      </c>
      <c r="D1950" s="129">
        <f t="shared" si="32"/>
        <v>0.0178639985212079</v>
      </c>
    </row>
    <row r="1951" ht="14.25" customHeight="1" spans="2:4">
      <c r="B1951" s="136">
        <v>43444</v>
      </c>
      <c r="C1951" s="128">
        <v>10488.45</v>
      </c>
      <c r="D1951" s="129">
        <f t="shared" si="32"/>
        <v>0.00578731843122671</v>
      </c>
    </row>
    <row r="1952" ht="14.25" customHeight="1" spans="2:4">
      <c r="B1952" s="136">
        <v>43441</v>
      </c>
      <c r="C1952" s="128">
        <v>10693.7</v>
      </c>
      <c r="D1952" s="129">
        <f t="shared" si="32"/>
        <v>-0.019193543862274</v>
      </c>
    </row>
    <row r="1953" ht="14.25" customHeight="1" spans="2:4">
      <c r="B1953" s="136">
        <v>43440</v>
      </c>
      <c r="C1953" s="128">
        <v>10601.15</v>
      </c>
      <c r="D1953" s="129">
        <f t="shared" si="32"/>
        <v>0.00873018493276678</v>
      </c>
    </row>
    <row r="1954" ht="14.25" customHeight="1" spans="2:4">
      <c r="B1954" s="136">
        <v>43439</v>
      </c>
      <c r="C1954" s="128">
        <v>10782.9</v>
      </c>
      <c r="D1954" s="129">
        <f t="shared" si="32"/>
        <v>-0.0168553914067644</v>
      </c>
    </row>
    <row r="1955" ht="14.25" customHeight="1" spans="2:4">
      <c r="B1955" s="136">
        <v>43438</v>
      </c>
      <c r="C1955" s="128">
        <v>10869.5</v>
      </c>
      <c r="D1955" s="129">
        <f t="shared" si="32"/>
        <v>-0.0079672478034869</v>
      </c>
    </row>
    <row r="1956" ht="14.25" customHeight="1" spans="2:4">
      <c r="B1956" s="136">
        <v>43437</v>
      </c>
      <c r="C1956" s="128">
        <v>10883.75</v>
      </c>
      <c r="D1956" s="129">
        <f t="shared" si="32"/>
        <v>-0.00130929137475599</v>
      </c>
    </row>
    <row r="1957" ht="14.25" customHeight="1" spans="2:4">
      <c r="B1957" s="136">
        <v>43434</v>
      </c>
      <c r="C1957" s="128">
        <v>10876.75</v>
      </c>
      <c r="D1957" s="129">
        <f t="shared" si="32"/>
        <v>0.000643574597191332</v>
      </c>
    </row>
    <row r="1958" ht="14.25" customHeight="1" spans="2:4">
      <c r="B1958" s="136">
        <v>43433</v>
      </c>
      <c r="C1958" s="128">
        <v>10858.7</v>
      </c>
      <c r="D1958" s="129">
        <f t="shared" si="32"/>
        <v>0.00166226159669192</v>
      </c>
    </row>
    <row r="1959" ht="14.25" customHeight="1" spans="2:4">
      <c r="B1959" s="136">
        <v>43432</v>
      </c>
      <c r="C1959" s="128">
        <v>10728.85</v>
      </c>
      <c r="D1959" s="129">
        <f t="shared" si="32"/>
        <v>0.0121028814831039</v>
      </c>
    </row>
    <row r="1960" ht="14.25" customHeight="1" spans="2:4">
      <c r="B1960" s="136">
        <v>43431</v>
      </c>
      <c r="C1960" s="128">
        <v>10685.6</v>
      </c>
      <c r="D1960" s="129">
        <f t="shared" si="32"/>
        <v>0.00404750318185232</v>
      </c>
    </row>
    <row r="1961" ht="14.25" customHeight="1" spans="2:4">
      <c r="B1961" s="136">
        <v>43430</v>
      </c>
      <c r="C1961" s="128">
        <v>10628.6</v>
      </c>
      <c r="D1961" s="129">
        <f t="shared" si="32"/>
        <v>0.00536288880943858</v>
      </c>
    </row>
    <row r="1962" ht="14.25" customHeight="1" spans="2:4">
      <c r="B1962" s="136">
        <v>43426</v>
      </c>
      <c r="C1962" s="128">
        <v>10526.75</v>
      </c>
      <c r="D1962" s="129">
        <f t="shared" si="32"/>
        <v>0.00967535089177574</v>
      </c>
    </row>
    <row r="1963" ht="14.25" customHeight="1" spans="2:4">
      <c r="B1963" s="136">
        <v>43425</v>
      </c>
      <c r="C1963" s="128">
        <v>10600.05</v>
      </c>
      <c r="D1963" s="129">
        <f t="shared" si="32"/>
        <v>-0.00691506172140688</v>
      </c>
    </row>
    <row r="1964" ht="14.25" customHeight="1" spans="2:4">
      <c r="B1964" s="136">
        <v>43424</v>
      </c>
      <c r="C1964" s="128">
        <v>10656.2</v>
      </c>
      <c r="D1964" s="129">
        <f t="shared" si="32"/>
        <v>-0.0052692329348174</v>
      </c>
    </row>
    <row r="1965" ht="14.25" customHeight="1" spans="2:4">
      <c r="B1965" s="136">
        <v>43423</v>
      </c>
      <c r="C1965" s="128">
        <v>10763.4</v>
      </c>
      <c r="D1965" s="129">
        <f t="shared" si="32"/>
        <v>-0.00995967816860832</v>
      </c>
    </row>
    <row r="1966" ht="14.25" customHeight="1" spans="2:4">
      <c r="B1966" s="136">
        <v>43420</v>
      </c>
      <c r="C1966" s="128">
        <v>10682.2</v>
      </c>
      <c r="D1966" s="129">
        <f t="shared" si="32"/>
        <v>0.00760143041695516</v>
      </c>
    </row>
    <row r="1967" ht="14.25" customHeight="1" spans="2:4">
      <c r="B1967" s="136">
        <v>43419</v>
      </c>
      <c r="C1967" s="128">
        <v>10616.7</v>
      </c>
      <c r="D1967" s="129">
        <f t="shared" si="32"/>
        <v>0.00616952537040705</v>
      </c>
    </row>
    <row r="1968" ht="14.25" customHeight="1" spans="2:4">
      <c r="B1968" s="136">
        <v>43418</v>
      </c>
      <c r="C1968" s="128">
        <v>10576.3</v>
      </c>
      <c r="D1968" s="129">
        <f t="shared" si="32"/>
        <v>0.00381986138819834</v>
      </c>
    </row>
    <row r="1969" ht="14.25" customHeight="1" spans="2:4">
      <c r="B1969" s="136">
        <v>43417</v>
      </c>
      <c r="C1969" s="128">
        <v>10582.5</v>
      </c>
      <c r="D1969" s="129">
        <f t="shared" si="32"/>
        <v>-0.000585872903378304</v>
      </c>
    </row>
    <row r="1970" ht="14.25" customHeight="1" spans="2:4">
      <c r="B1970" s="136">
        <v>43416</v>
      </c>
      <c r="C1970" s="128">
        <v>10482.2</v>
      </c>
      <c r="D1970" s="129">
        <f t="shared" si="32"/>
        <v>0.00956860201102816</v>
      </c>
    </row>
    <row r="1971" ht="14.25" customHeight="1" spans="2:4">
      <c r="B1971" s="136">
        <v>43413</v>
      </c>
      <c r="C1971" s="128">
        <v>10585.2</v>
      </c>
      <c r="D1971" s="129">
        <f t="shared" si="32"/>
        <v>-0.00973056720704379</v>
      </c>
    </row>
    <row r="1972" ht="14.25" customHeight="1" spans="2:4">
      <c r="B1972" s="136">
        <v>43411</v>
      </c>
      <c r="C1972" s="128">
        <v>10598.85</v>
      </c>
      <c r="D1972" s="129">
        <f t="shared" si="32"/>
        <v>-0.00128787557140631</v>
      </c>
    </row>
    <row r="1973" ht="14.25" customHeight="1" spans="2:4">
      <c r="B1973" s="136">
        <v>43410</v>
      </c>
      <c r="C1973" s="128">
        <v>10530</v>
      </c>
      <c r="D1973" s="129">
        <f t="shared" si="32"/>
        <v>0.0065384615384616</v>
      </c>
    </row>
    <row r="1974" ht="14.25" customHeight="1" spans="2:4">
      <c r="B1974" s="136">
        <v>43409</v>
      </c>
      <c r="C1974" s="128">
        <v>10524</v>
      </c>
      <c r="D1974" s="129">
        <f t="shared" si="32"/>
        <v>0.000570125427594048</v>
      </c>
    </row>
    <row r="1975" ht="14.25" customHeight="1" spans="2:4">
      <c r="B1975" s="136">
        <v>43406</v>
      </c>
      <c r="C1975" s="128">
        <v>10553</v>
      </c>
      <c r="D1975" s="129">
        <f t="shared" si="32"/>
        <v>-0.00274803373448307</v>
      </c>
    </row>
    <row r="1976" ht="14.25" customHeight="1" spans="2:4">
      <c r="B1976" s="136">
        <v>43405</v>
      </c>
      <c r="C1976" s="128">
        <v>10380.45</v>
      </c>
      <c r="D1976" s="129">
        <f t="shared" si="32"/>
        <v>0.0166225934328472</v>
      </c>
    </row>
    <row r="1977" ht="14.25" customHeight="1" spans="2:4">
      <c r="B1977" s="136">
        <v>43404</v>
      </c>
      <c r="C1977" s="128">
        <v>10386.6</v>
      </c>
      <c r="D1977" s="129">
        <f t="shared" si="32"/>
        <v>-0.000592109063601187</v>
      </c>
    </row>
    <row r="1978" ht="14.25" customHeight="1" spans="2:4">
      <c r="B1978" s="136">
        <v>43403</v>
      </c>
      <c r="C1978" s="128">
        <v>10198.4</v>
      </c>
      <c r="D1978" s="129">
        <f t="shared" si="32"/>
        <v>0.0184538751176655</v>
      </c>
    </row>
    <row r="1979" ht="14.25" customHeight="1" spans="2:4">
      <c r="B1979" s="136">
        <v>43402</v>
      </c>
      <c r="C1979" s="128">
        <v>10250.85</v>
      </c>
      <c r="D1979" s="129">
        <f t="shared" si="32"/>
        <v>-0.00511664886326502</v>
      </c>
    </row>
    <row r="1980" ht="14.25" customHeight="1" spans="2:4">
      <c r="B1980" s="136">
        <v>43399</v>
      </c>
      <c r="C1980" s="128">
        <v>10030</v>
      </c>
      <c r="D1980" s="129">
        <f t="shared" si="32"/>
        <v>0.0220189431704885</v>
      </c>
    </row>
    <row r="1981" ht="14.25" customHeight="1" spans="2:4">
      <c r="B1981" s="136">
        <v>43398</v>
      </c>
      <c r="C1981" s="128">
        <v>10124.9</v>
      </c>
      <c r="D1981" s="129">
        <f t="shared" si="32"/>
        <v>-0.00937293207834144</v>
      </c>
    </row>
    <row r="1982" ht="14.25" customHeight="1" spans="2:4">
      <c r="B1982" s="136">
        <v>43397</v>
      </c>
      <c r="C1982" s="128">
        <v>10224.75</v>
      </c>
      <c r="D1982" s="129">
        <f t="shared" si="32"/>
        <v>-0.00976551993936281</v>
      </c>
    </row>
    <row r="1983" ht="14.25" customHeight="1" spans="2:4">
      <c r="B1983" s="136">
        <v>43396</v>
      </c>
      <c r="C1983" s="128">
        <v>10146.8</v>
      </c>
      <c r="D1983" s="129">
        <f t="shared" si="32"/>
        <v>0.0076822249379116</v>
      </c>
    </row>
    <row r="1984" ht="14.25" customHeight="1" spans="2:4">
      <c r="B1984" s="136">
        <v>43395</v>
      </c>
      <c r="C1984" s="128">
        <v>10245.25</v>
      </c>
      <c r="D1984" s="129">
        <f t="shared" si="32"/>
        <v>-0.00960933115346141</v>
      </c>
    </row>
    <row r="1985" ht="14.25" customHeight="1" spans="2:4">
      <c r="B1985" s="136">
        <v>43392</v>
      </c>
      <c r="C1985" s="128">
        <v>10303.55</v>
      </c>
      <c r="D1985" s="129">
        <f t="shared" si="32"/>
        <v>-0.0056582440032803</v>
      </c>
    </row>
    <row r="1986" ht="14.25" customHeight="1" spans="2:4">
      <c r="B1986" s="136">
        <v>43390</v>
      </c>
      <c r="C1986" s="128">
        <v>10453.05</v>
      </c>
      <c r="D1986" s="129">
        <f t="shared" ref="D1986:D2049" si="33">C1985/C1986-1</f>
        <v>-0.0143020458143795</v>
      </c>
    </row>
    <row r="1987" ht="14.25" customHeight="1" spans="2:4">
      <c r="B1987" s="136">
        <v>43389</v>
      </c>
      <c r="C1987" s="128">
        <v>10584.75</v>
      </c>
      <c r="D1987" s="129">
        <f t="shared" si="33"/>
        <v>-0.0124424289662014</v>
      </c>
    </row>
    <row r="1988" ht="14.25" customHeight="1" spans="2:4">
      <c r="B1988" s="136">
        <v>43388</v>
      </c>
      <c r="C1988" s="128">
        <v>10512.5</v>
      </c>
      <c r="D1988" s="129">
        <f t="shared" si="33"/>
        <v>0.00687277051129609</v>
      </c>
    </row>
    <row r="1989" ht="14.25" customHeight="1" spans="2:4">
      <c r="B1989" s="136">
        <v>43385</v>
      </c>
      <c r="C1989" s="128">
        <v>10472.5</v>
      </c>
      <c r="D1989" s="129">
        <f t="shared" si="33"/>
        <v>0.00381952733349245</v>
      </c>
    </row>
    <row r="1990" ht="14.25" customHeight="1" spans="2:4">
      <c r="B1990" s="136">
        <v>43384</v>
      </c>
      <c r="C1990" s="128">
        <v>10234.65</v>
      </c>
      <c r="D1990" s="129">
        <f t="shared" si="33"/>
        <v>0.023239680887964</v>
      </c>
    </row>
    <row r="1991" ht="14.25" customHeight="1" spans="2:4">
      <c r="B1991" s="136">
        <v>43383</v>
      </c>
      <c r="C1991" s="128">
        <v>10460.1</v>
      </c>
      <c r="D1991" s="129">
        <f t="shared" si="33"/>
        <v>-0.0215533312301031</v>
      </c>
    </row>
    <row r="1992" ht="14.25" customHeight="1" spans="2:4">
      <c r="B1992" s="136">
        <v>43382</v>
      </c>
      <c r="C1992" s="128">
        <v>10301.05</v>
      </c>
      <c r="D1992" s="129">
        <f t="shared" si="33"/>
        <v>0.0154401735745386</v>
      </c>
    </row>
    <row r="1993" ht="14.25" customHeight="1" spans="2:4">
      <c r="B1993" s="136">
        <v>43381</v>
      </c>
      <c r="C1993" s="128">
        <v>10348.05</v>
      </c>
      <c r="D1993" s="129">
        <f t="shared" si="33"/>
        <v>-0.00454191852571262</v>
      </c>
    </row>
    <row r="1994" ht="14.25" customHeight="1" spans="2:4">
      <c r="B1994" s="136">
        <v>43378</v>
      </c>
      <c r="C1994" s="128">
        <v>10316.45</v>
      </c>
      <c r="D1994" s="129">
        <f t="shared" si="33"/>
        <v>0.00306306917592769</v>
      </c>
    </row>
    <row r="1995" ht="14.25" customHeight="1" spans="2:4">
      <c r="B1995" s="136">
        <v>43377</v>
      </c>
      <c r="C1995" s="128">
        <v>10599.25</v>
      </c>
      <c r="D1995" s="129">
        <f t="shared" si="33"/>
        <v>-0.02668113309904</v>
      </c>
    </row>
    <row r="1996" ht="14.25" customHeight="1" spans="2:4">
      <c r="B1996" s="136">
        <v>43376</v>
      </c>
      <c r="C1996" s="128">
        <v>10858.25</v>
      </c>
      <c r="D1996" s="129">
        <f t="shared" si="33"/>
        <v>-0.0238528307968595</v>
      </c>
    </row>
    <row r="1997" ht="14.25" customHeight="1" spans="2:4">
      <c r="B1997" s="136">
        <v>43374</v>
      </c>
      <c r="C1997" s="128">
        <v>11008.3</v>
      </c>
      <c r="D1997" s="129">
        <f t="shared" si="33"/>
        <v>-0.0136306241654024</v>
      </c>
    </row>
    <row r="1998" ht="14.25" customHeight="1" spans="2:4">
      <c r="B1998" s="136">
        <v>43371</v>
      </c>
      <c r="C1998" s="128">
        <v>10930.45</v>
      </c>
      <c r="D1998" s="129">
        <f t="shared" si="33"/>
        <v>0.00712230512010015</v>
      </c>
    </row>
    <row r="1999" ht="14.25" customHeight="1" spans="2:4">
      <c r="B1999" s="136">
        <v>43370</v>
      </c>
      <c r="C1999" s="128">
        <v>10977.55</v>
      </c>
      <c r="D1999" s="129">
        <f t="shared" si="33"/>
        <v>-0.00429057485504492</v>
      </c>
    </row>
    <row r="2000" ht="14.25" customHeight="1" spans="2:4">
      <c r="B2000" s="136">
        <v>43369</v>
      </c>
      <c r="C2000" s="128">
        <v>11053.8</v>
      </c>
      <c r="D2000" s="129">
        <f t="shared" si="33"/>
        <v>-0.00689808029817796</v>
      </c>
    </row>
    <row r="2001" ht="14.25" customHeight="1" spans="2:4">
      <c r="B2001" s="136">
        <v>43368</v>
      </c>
      <c r="C2001" s="128">
        <v>11067.45</v>
      </c>
      <c r="D2001" s="129">
        <f t="shared" si="33"/>
        <v>-0.00123334643481576</v>
      </c>
    </row>
    <row r="2002" ht="14.25" customHeight="1" spans="2:4">
      <c r="B2002" s="136">
        <v>43367</v>
      </c>
      <c r="C2002" s="128">
        <v>10967.4</v>
      </c>
      <c r="D2002" s="129">
        <f t="shared" si="33"/>
        <v>0.00912249028940315</v>
      </c>
    </row>
    <row r="2003" ht="14.25" customHeight="1" spans="2:4">
      <c r="B2003" s="136">
        <v>43364</v>
      </c>
      <c r="C2003" s="128">
        <v>11143.1</v>
      </c>
      <c r="D2003" s="129">
        <f t="shared" si="33"/>
        <v>-0.0157676050650178</v>
      </c>
    </row>
    <row r="2004" ht="14.25" customHeight="1" spans="2:4">
      <c r="B2004" s="136">
        <v>43362</v>
      </c>
      <c r="C2004" s="128">
        <v>11234.35</v>
      </c>
      <c r="D2004" s="129">
        <f t="shared" si="33"/>
        <v>-0.00812241028630944</v>
      </c>
    </row>
    <row r="2005" ht="14.25" customHeight="1" spans="2:4">
      <c r="B2005" s="136">
        <v>43361</v>
      </c>
      <c r="C2005" s="128">
        <v>11278.9</v>
      </c>
      <c r="D2005" s="129">
        <f t="shared" si="33"/>
        <v>-0.00394985326583264</v>
      </c>
    </row>
    <row r="2006" ht="14.25" customHeight="1" spans="2:4">
      <c r="B2006" s="136">
        <v>43360</v>
      </c>
      <c r="C2006" s="128">
        <v>11377.75</v>
      </c>
      <c r="D2006" s="129">
        <f t="shared" si="33"/>
        <v>-0.00868800949221071</v>
      </c>
    </row>
    <row r="2007" ht="14.25" customHeight="1" spans="2:4">
      <c r="B2007" s="136">
        <v>43357</v>
      </c>
      <c r="C2007" s="128">
        <v>11515.2</v>
      </c>
      <c r="D2007" s="129">
        <f t="shared" si="33"/>
        <v>-0.011936397109907</v>
      </c>
    </row>
    <row r="2008" ht="14.25" customHeight="1" spans="2:4">
      <c r="B2008" s="136">
        <v>43355</v>
      </c>
      <c r="C2008" s="128">
        <v>11369.9</v>
      </c>
      <c r="D2008" s="129">
        <f t="shared" si="33"/>
        <v>0.0127793560189624</v>
      </c>
    </row>
    <row r="2009" ht="14.25" customHeight="1" spans="2:4">
      <c r="B2009" s="136">
        <v>43354</v>
      </c>
      <c r="C2009" s="128">
        <v>11287.5</v>
      </c>
      <c r="D2009" s="129">
        <f t="shared" si="33"/>
        <v>0.00730011074197123</v>
      </c>
    </row>
    <row r="2010" ht="14.25" customHeight="1" spans="2:4">
      <c r="B2010" s="136">
        <v>43353</v>
      </c>
      <c r="C2010" s="128">
        <v>11438.1</v>
      </c>
      <c r="D2010" s="129">
        <f t="shared" si="33"/>
        <v>-0.0131665224119391</v>
      </c>
    </row>
    <row r="2011" ht="14.25" customHeight="1" spans="2:4">
      <c r="B2011" s="136">
        <v>43350</v>
      </c>
      <c r="C2011" s="128">
        <v>11589.1</v>
      </c>
      <c r="D2011" s="129">
        <f t="shared" si="33"/>
        <v>-0.0130294846019104</v>
      </c>
    </row>
    <row r="2012" ht="14.25" customHeight="1" spans="2:4">
      <c r="B2012" s="136">
        <v>43349</v>
      </c>
      <c r="C2012" s="128">
        <v>11536.9</v>
      </c>
      <c r="D2012" s="129">
        <f t="shared" si="33"/>
        <v>0.00452461233086887</v>
      </c>
    </row>
    <row r="2013" ht="14.25" customHeight="1" spans="2:4">
      <c r="B2013" s="136">
        <v>43348</v>
      </c>
      <c r="C2013" s="128">
        <v>11476.95</v>
      </c>
      <c r="D2013" s="129">
        <f t="shared" si="33"/>
        <v>0.00522351321561909</v>
      </c>
    </row>
    <row r="2014" ht="14.25" customHeight="1" spans="2:4">
      <c r="B2014" s="136">
        <v>43347</v>
      </c>
      <c r="C2014" s="128">
        <v>11520.3</v>
      </c>
      <c r="D2014" s="129">
        <f t="shared" si="33"/>
        <v>-0.00376292284055091</v>
      </c>
    </row>
    <row r="2015" ht="14.25" customHeight="1" spans="2:4">
      <c r="B2015" s="136">
        <v>43346</v>
      </c>
      <c r="C2015" s="128">
        <v>11582.35</v>
      </c>
      <c r="D2015" s="129">
        <f t="shared" si="33"/>
        <v>-0.00535728932384194</v>
      </c>
    </row>
    <row r="2016" ht="14.25" customHeight="1" spans="2:4">
      <c r="B2016" s="136">
        <v>43343</v>
      </c>
      <c r="C2016" s="128">
        <v>11680.5</v>
      </c>
      <c r="D2016" s="129">
        <f t="shared" si="33"/>
        <v>-0.00840289371174174</v>
      </c>
    </row>
    <row r="2017" ht="14.25" customHeight="1" spans="2:4">
      <c r="B2017" s="136">
        <v>43342</v>
      </c>
      <c r="C2017" s="128">
        <v>11676.8</v>
      </c>
      <c r="D2017" s="129">
        <f t="shared" si="33"/>
        <v>0.000316867634968521</v>
      </c>
    </row>
    <row r="2018" ht="14.25" customHeight="1" spans="2:4">
      <c r="B2018" s="136">
        <v>43341</v>
      </c>
      <c r="C2018" s="128">
        <v>11691.9</v>
      </c>
      <c r="D2018" s="129">
        <f t="shared" si="33"/>
        <v>-0.00129149240072191</v>
      </c>
    </row>
    <row r="2019" ht="14.25" customHeight="1" spans="2:4">
      <c r="B2019" s="136">
        <v>43340</v>
      </c>
      <c r="C2019" s="128">
        <v>11738.5</v>
      </c>
      <c r="D2019" s="129">
        <f t="shared" si="33"/>
        <v>-0.00396984282489243</v>
      </c>
    </row>
    <row r="2020" ht="14.25" customHeight="1" spans="2:4">
      <c r="B2020" s="136">
        <v>43339</v>
      </c>
      <c r="C2020" s="128">
        <v>11691.95</v>
      </c>
      <c r="D2020" s="129">
        <f t="shared" si="33"/>
        <v>0.00398137179854507</v>
      </c>
    </row>
    <row r="2021" ht="14.25" customHeight="1" spans="2:4">
      <c r="B2021" s="136">
        <v>43336</v>
      </c>
      <c r="C2021" s="128">
        <v>11557.1</v>
      </c>
      <c r="D2021" s="129">
        <f t="shared" si="33"/>
        <v>0.0116681520450632</v>
      </c>
    </row>
    <row r="2022" ht="14.25" customHeight="1" spans="2:4">
      <c r="B2022" s="136">
        <v>43335</v>
      </c>
      <c r="C2022" s="128">
        <v>11582.75</v>
      </c>
      <c r="D2022" s="129">
        <f t="shared" si="33"/>
        <v>-0.00221450001079193</v>
      </c>
    </row>
    <row r="2023" ht="14.25" customHeight="1" spans="2:4">
      <c r="B2023" s="136">
        <v>43333</v>
      </c>
      <c r="C2023" s="128">
        <v>11570.9</v>
      </c>
      <c r="D2023" s="129">
        <f t="shared" si="33"/>
        <v>0.00102412085490333</v>
      </c>
    </row>
    <row r="2024" ht="14.25" customHeight="1" spans="2:4">
      <c r="B2024" s="136">
        <v>43332</v>
      </c>
      <c r="C2024" s="128">
        <v>11551.75</v>
      </c>
      <c r="D2024" s="129">
        <f t="shared" si="33"/>
        <v>0.00165775748263242</v>
      </c>
    </row>
    <row r="2025" ht="14.25" customHeight="1" spans="2:4">
      <c r="B2025" s="136">
        <v>43329</v>
      </c>
      <c r="C2025" s="128">
        <v>11470.75</v>
      </c>
      <c r="D2025" s="129">
        <f t="shared" si="33"/>
        <v>0.00706143887714394</v>
      </c>
    </row>
    <row r="2026" ht="14.25" customHeight="1" spans="2:4">
      <c r="B2026" s="136">
        <v>43328</v>
      </c>
      <c r="C2026" s="128">
        <v>11385.05</v>
      </c>
      <c r="D2026" s="129">
        <f t="shared" si="33"/>
        <v>0.00752741533853607</v>
      </c>
    </row>
    <row r="2027" ht="14.25" customHeight="1" spans="2:4">
      <c r="B2027" s="136">
        <v>43326</v>
      </c>
      <c r="C2027" s="128">
        <v>11435.1</v>
      </c>
      <c r="D2027" s="129">
        <f t="shared" si="33"/>
        <v>-0.00437687471032178</v>
      </c>
    </row>
    <row r="2028" ht="14.25" customHeight="1" spans="2:4">
      <c r="B2028" s="136">
        <v>43325</v>
      </c>
      <c r="C2028" s="128">
        <v>11355.75</v>
      </c>
      <c r="D2028" s="129">
        <f t="shared" si="33"/>
        <v>0.00698764942870356</v>
      </c>
    </row>
    <row r="2029" ht="14.25" customHeight="1" spans="2:4">
      <c r="B2029" s="136">
        <v>43322</v>
      </c>
      <c r="C2029" s="128">
        <v>11429.5</v>
      </c>
      <c r="D2029" s="129">
        <f t="shared" si="33"/>
        <v>-0.00645260072619103</v>
      </c>
    </row>
    <row r="2030" ht="14.25" customHeight="1" spans="2:4">
      <c r="B2030" s="136">
        <v>43321</v>
      </c>
      <c r="C2030" s="128">
        <v>11470.7</v>
      </c>
      <c r="D2030" s="129">
        <f t="shared" si="33"/>
        <v>-0.00359175987516025</v>
      </c>
    </row>
    <row r="2031" ht="14.25" customHeight="1" spans="2:4">
      <c r="B2031" s="136">
        <v>43320</v>
      </c>
      <c r="C2031" s="128">
        <v>11450</v>
      </c>
      <c r="D2031" s="129">
        <f t="shared" si="33"/>
        <v>0.00180786026200885</v>
      </c>
    </row>
    <row r="2032" ht="14.25" customHeight="1" spans="2:4">
      <c r="B2032" s="136">
        <v>43319</v>
      </c>
      <c r="C2032" s="128">
        <v>11389.45</v>
      </c>
      <c r="D2032" s="129">
        <f t="shared" si="33"/>
        <v>0.00531632343967448</v>
      </c>
    </row>
    <row r="2033" ht="14.25" customHeight="1" spans="2:4">
      <c r="B2033" s="136">
        <v>43318</v>
      </c>
      <c r="C2033" s="128">
        <v>11387.1</v>
      </c>
      <c r="D2033" s="129">
        <f t="shared" si="33"/>
        <v>0.000206373879214183</v>
      </c>
    </row>
    <row r="2034" ht="14.25" customHeight="1" spans="2:4">
      <c r="B2034" s="136">
        <v>43315</v>
      </c>
      <c r="C2034" s="128">
        <v>11360.8</v>
      </c>
      <c r="D2034" s="129">
        <f t="shared" si="33"/>
        <v>0.00231497781846368</v>
      </c>
    </row>
    <row r="2035" ht="14.25" customHeight="1" spans="2:4">
      <c r="B2035" s="136">
        <v>43314</v>
      </c>
      <c r="C2035" s="128">
        <v>11244.7</v>
      </c>
      <c r="D2035" s="129">
        <f t="shared" si="33"/>
        <v>0.0103248641582254</v>
      </c>
    </row>
    <row r="2036" ht="14.25" customHeight="1" spans="2:4">
      <c r="B2036" s="136">
        <v>43313</v>
      </c>
      <c r="C2036" s="128">
        <v>11346.2</v>
      </c>
      <c r="D2036" s="129">
        <f t="shared" si="33"/>
        <v>-0.00894572632246915</v>
      </c>
    </row>
    <row r="2037" ht="14.25" customHeight="1" spans="2:4">
      <c r="B2037" s="136">
        <v>43312</v>
      </c>
      <c r="C2037" s="128">
        <v>11356.5</v>
      </c>
      <c r="D2037" s="129">
        <f t="shared" si="33"/>
        <v>-0.000906969576894179</v>
      </c>
    </row>
    <row r="2038" ht="14.25" customHeight="1" spans="2:4">
      <c r="B2038" s="136">
        <v>43311</v>
      </c>
      <c r="C2038" s="128">
        <v>11319.55</v>
      </c>
      <c r="D2038" s="129">
        <f t="shared" si="33"/>
        <v>0.00326426403876479</v>
      </c>
    </row>
    <row r="2039" ht="14.25" customHeight="1" spans="2:4">
      <c r="B2039" s="136">
        <v>43308</v>
      </c>
      <c r="C2039" s="128">
        <v>11278.35</v>
      </c>
      <c r="D2039" s="129">
        <f t="shared" si="33"/>
        <v>0.00365301662033879</v>
      </c>
    </row>
    <row r="2040" ht="14.25" customHeight="1" spans="2:4">
      <c r="B2040" s="136">
        <v>43307</v>
      </c>
      <c r="C2040" s="128">
        <v>11167.3</v>
      </c>
      <c r="D2040" s="129">
        <f t="shared" si="33"/>
        <v>0.00994421211931273</v>
      </c>
    </row>
    <row r="2041" ht="14.25" customHeight="1" spans="2:4">
      <c r="B2041" s="136">
        <v>43306</v>
      </c>
      <c r="C2041" s="128">
        <v>11132</v>
      </c>
      <c r="D2041" s="129">
        <f t="shared" si="33"/>
        <v>0.00317103844771816</v>
      </c>
    </row>
    <row r="2042" ht="14.25" customHeight="1" spans="2:4">
      <c r="B2042" s="136">
        <v>43305</v>
      </c>
      <c r="C2042" s="128">
        <v>11134.3</v>
      </c>
      <c r="D2042" s="129">
        <f t="shared" si="33"/>
        <v>-0.000206568890725012</v>
      </c>
    </row>
    <row r="2043" ht="14.25" customHeight="1" spans="2:4">
      <c r="B2043" s="136">
        <v>43304</v>
      </c>
      <c r="C2043" s="128">
        <v>11084.75</v>
      </c>
      <c r="D2043" s="129">
        <f t="shared" si="33"/>
        <v>0.00447010532488323</v>
      </c>
    </row>
    <row r="2044" ht="14.25" customHeight="1" spans="2:4">
      <c r="B2044" s="136">
        <v>43301</v>
      </c>
      <c r="C2044" s="128">
        <v>11010.2</v>
      </c>
      <c r="D2044" s="129">
        <f t="shared" si="33"/>
        <v>0.00677099416904325</v>
      </c>
    </row>
    <row r="2045" ht="14.25" customHeight="1" spans="2:4">
      <c r="B2045" s="136">
        <v>43300</v>
      </c>
      <c r="C2045" s="128">
        <v>10957.1</v>
      </c>
      <c r="D2045" s="129">
        <f t="shared" si="33"/>
        <v>0.00484617280119748</v>
      </c>
    </row>
    <row r="2046" ht="14.25" customHeight="1" spans="2:4">
      <c r="B2046" s="136">
        <v>43299</v>
      </c>
      <c r="C2046" s="128">
        <v>10980.45</v>
      </c>
      <c r="D2046" s="129">
        <f t="shared" si="33"/>
        <v>-0.00212650665500957</v>
      </c>
    </row>
    <row r="2047" ht="14.25" customHeight="1" spans="2:4">
      <c r="B2047" s="136">
        <v>43298</v>
      </c>
      <c r="C2047" s="128">
        <v>11008.05</v>
      </c>
      <c r="D2047" s="129">
        <f t="shared" si="33"/>
        <v>-0.00250725605352431</v>
      </c>
    </row>
    <row r="2048" ht="14.25" customHeight="1" spans="2:4">
      <c r="B2048" s="136">
        <v>43297</v>
      </c>
      <c r="C2048" s="128">
        <v>10936.85</v>
      </c>
      <c r="D2048" s="129">
        <f t="shared" si="33"/>
        <v>0.00651010117172657</v>
      </c>
    </row>
    <row r="2049" ht="14.25" customHeight="1" spans="2:4">
      <c r="B2049" s="136">
        <v>43294</v>
      </c>
      <c r="C2049" s="128">
        <v>11018.9</v>
      </c>
      <c r="D2049" s="129">
        <f t="shared" si="33"/>
        <v>-0.00744629681728659</v>
      </c>
    </row>
    <row r="2050" ht="14.25" customHeight="1" spans="2:4">
      <c r="B2050" s="136">
        <v>43293</v>
      </c>
      <c r="C2050" s="128">
        <v>11023.2</v>
      </c>
      <c r="D2050" s="129">
        <f t="shared" ref="D2050:D2113" si="34">C2049/C2050-1</f>
        <v>-0.000390086363306619</v>
      </c>
    </row>
    <row r="2051" ht="14.25" customHeight="1" spans="2:4">
      <c r="B2051" s="136">
        <v>43292</v>
      </c>
      <c r="C2051" s="128">
        <v>10948.3</v>
      </c>
      <c r="D2051" s="129">
        <f t="shared" si="34"/>
        <v>0.00684124475946057</v>
      </c>
    </row>
    <row r="2052" ht="14.25" customHeight="1" spans="2:4">
      <c r="B2052" s="136">
        <v>43291</v>
      </c>
      <c r="C2052" s="128">
        <v>10947.25</v>
      </c>
      <c r="D2052" s="129">
        <f t="shared" si="34"/>
        <v>9.59144990750893e-5</v>
      </c>
    </row>
    <row r="2053" ht="14.25" customHeight="1" spans="2:4">
      <c r="B2053" s="136">
        <v>43290</v>
      </c>
      <c r="C2053" s="128">
        <v>10852.9</v>
      </c>
      <c r="D2053" s="129">
        <f t="shared" si="34"/>
        <v>0.00869352891853792</v>
      </c>
    </row>
    <row r="2054" ht="14.25" customHeight="1" spans="2:4">
      <c r="B2054" s="136">
        <v>43287</v>
      </c>
      <c r="C2054" s="128">
        <v>10772.65</v>
      </c>
      <c r="D2054" s="129">
        <f t="shared" si="34"/>
        <v>0.00744942052326958</v>
      </c>
    </row>
    <row r="2055" ht="14.25" customHeight="1" spans="2:4">
      <c r="B2055" s="136">
        <v>43286</v>
      </c>
      <c r="C2055" s="128">
        <v>10749.75</v>
      </c>
      <c r="D2055" s="129">
        <f t="shared" si="34"/>
        <v>0.00213028209958366</v>
      </c>
    </row>
    <row r="2056" ht="14.25" customHeight="1" spans="2:4">
      <c r="B2056" s="136">
        <v>43285</v>
      </c>
      <c r="C2056" s="128">
        <v>10769.9</v>
      </c>
      <c r="D2056" s="129">
        <f t="shared" si="34"/>
        <v>-0.00187095516207203</v>
      </c>
    </row>
    <row r="2057" ht="14.25" customHeight="1" spans="2:4">
      <c r="B2057" s="136">
        <v>43284</v>
      </c>
      <c r="C2057" s="128">
        <v>10699.9</v>
      </c>
      <c r="D2057" s="129">
        <f t="shared" si="34"/>
        <v>0.00654211721604869</v>
      </c>
    </row>
    <row r="2058" ht="14.25" customHeight="1" spans="2:4">
      <c r="B2058" s="136">
        <v>43283</v>
      </c>
      <c r="C2058" s="128">
        <v>10657.3</v>
      </c>
      <c r="D2058" s="129">
        <f t="shared" si="34"/>
        <v>0.00399726009402013</v>
      </c>
    </row>
    <row r="2059" ht="14.25" customHeight="1" spans="2:4">
      <c r="B2059" s="136">
        <v>43280</v>
      </c>
      <c r="C2059" s="128">
        <v>10714.3</v>
      </c>
      <c r="D2059" s="129">
        <f t="shared" si="34"/>
        <v>-0.00531999290667617</v>
      </c>
    </row>
    <row r="2060" ht="14.25" customHeight="1" spans="2:4">
      <c r="B2060" s="136">
        <v>43279</v>
      </c>
      <c r="C2060" s="128">
        <v>10589.1</v>
      </c>
      <c r="D2060" s="129">
        <f t="shared" si="34"/>
        <v>0.0118234788603375</v>
      </c>
    </row>
    <row r="2061" ht="14.25" customHeight="1" spans="2:4">
      <c r="B2061" s="136">
        <v>43278</v>
      </c>
      <c r="C2061" s="128">
        <v>10671.4</v>
      </c>
      <c r="D2061" s="129">
        <f t="shared" si="34"/>
        <v>-0.00771220271004736</v>
      </c>
    </row>
    <row r="2062" ht="14.25" customHeight="1" spans="2:4">
      <c r="B2062" s="136">
        <v>43277</v>
      </c>
      <c r="C2062" s="128">
        <v>10769.15</v>
      </c>
      <c r="D2062" s="129">
        <f t="shared" si="34"/>
        <v>-0.00907685379068912</v>
      </c>
    </row>
    <row r="2063" ht="14.25" customHeight="1" spans="2:4">
      <c r="B2063" s="136">
        <v>43276</v>
      </c>
      <c r="C2063" s="128">
        <v>10762.45</v>
      </c>
      <c r="D2063" s="129">
        <f t="shared" si="34"/>
        <v>0.000622534831752786</v>
      </c>
    </row>
    <row r="2064" ht="14.25" customHeight="1" spans="2:4">
      <c r="B2064" s="136">
        <v>43273</v>
      </c>
      <c r="C2064" s="128">
        <v>10821.85</v>
      </c>
      <c r="D2064" s="129">
        <f t="shared" si="34"/>
        <v>-0.00548889515193796</v>
      </c>
    </row>
    <row r="2065" ht="14.25" customHeight="1" spans="2:4">
      <c r="B2065" s="136">
        <v>43272</v>
      </c>
      <c r="C2065" s="128">
        <v>10741.1</v>
      </c>
      <c r="D2065" s="129">
        <f t="shared" si="34"/>
        <v>0.00751785198908861</v>
      </c>
    </row>
    <row r="2066" ht="14.25" customHeight="1" spans="2:4">
      <c r="B2066" s="136">
        <v>43271</v>
      </c>
      <c r="C2066" s="128">
        <v>10772.05</v>
      </c>
      <c r="D2066" s="129">
        <f t="shared" si="34"/>
        <v>-0.00287317641488838</v>
      </c>
    </row>
    <row r="2067" ht="14.25" customHeight="1" spans="2:4">
      <c r="B2067" s="136">
        <v>43270</v>
      </c>
      <c r="C2067" s="128">
        <v>10710.45</v>
      </c>
      <c r="D2067" s="129">
        <f t="shared" si="34"/>
        <v>0.00575139233178801</v>
      </c>
    </row>
    <row r="2068" ht="14.25" customHeight="1" spans="2:4">
      <c r="B2068" s="136">
        <v>43269</v>
      </c>
      <c r="C2068" s="128">
        <v>10799.85</v>
      </c>
      <c r="D2068" s="129">
        <f t="shared" si="34"/>
        <v>-0.00827789274851032</v>
      </c>
    </row>
    <row r="2069" ht="14.25" customHeight="1" spans="2:4">
      <c r="B2069" s="136">
        <v>43266</v>
      </c>
      <c r="C2069" s="128">
        <v>10817.7</v>
      </c>
      <c r="D2069" s="129">
        <f t="shared" si="34"/>
        <v>-0.00165007349066815</v>
      </c>
    </row>
    <row r="2070" ht="14.25" customHeight="1" spans="2:4">
      <c r="B2070" s="136">
        <v>43265</v>
      </c>
      <c r="C2070" s="128">
        <v>10808.05</v>
      </c>
      <c r="D2070" s="129">
        <f t="shared" si="34"/>
        <v>0.000892853012338213</v>
      </c>
    </row>
    <row r="2071" ht="14.25" customHeight="1" spans="2:4">
      <c r="B2071" s="136">
        <v>43264</v>
      </c>
      <c r="C2071" s="128">
        <v>10856.7</v>
      </c>
      <c r="D2071" s="129">
        <f t="shared" si="34"/>
        <v>-0.00448110383449862</v>
      </c>
    </row>
    <row r="2072" ht="14.25" customHeight="1" spans="2:4">
      <c r="B2072" s="136">
        <v>43263</v>
      </c>
      <c r="C2072" s="128">
        <v>10842.85</v>
      </c>
      <c r="D2072" s="129">
        <f t="shared" si="34"/>
        <v>0.00127733944488773</v>
      </c>
    </row>
    <row r="2073" ht="14.25" customHeight="1" spans="2:4">
      <c r="B2073" s="136">
        <v>43262</v>
      </c>
      <c r="C2073" s="128">
        <v>10786.95</v>
      </c>
      <c r="D2073" s="129">
        <f t="shared" si="34"/>
        <v>0.00518218773610712</v>
      </c>
    </row>
    <row r="2074" ht="14.25" customHeight="1" spans="2:4">
      <c r="B2074" s="136">
        <v>43259</v>
      </c>
      <c r="C2074" s="128">
        <v>10767.65</v>
      </c>
      <c r="D2074" s="129">
        <f t="shared" si="34"/>
        <v>0.00179240595673158</v>
      </c>
    </row>
    <row r="2075" ht="14.25" customHeight="1" spans="2:4">
      <c r="B2075" s="136">
        <v>43258</v>
      </c>
      <c r="C2075" s="128">
        <v>10768.35</v>
      </c>
      <c r="D2075" s="129">
        <f t="shared" si="34"/>
        <v>-6.5005316506328e-5</v>
      </c>
    </row>
    <row r="2076" ht="14.25" customHeight="1" spans="2:4">
      <c r="B2076" s="136">
        <v>43257</v>
      </c>
      <c r="C2076" s="128">
        <v>10684.65</v>
      </c>
      <c r="D2076" s="129">
        <f t="shared" si="34"/>
        <v>0.00783366792548201</v>
      </c>
    </row>
    <row r="2077" ht="14.25" customHeight="1" spans="2:4">
      <c r="B2077" s="136">
        <v>43256</v>
      </c>
      <c r="C2077" s="128">
        <v>10593.15</v>
      </c>
      <c r="D2077" s="129">
        <f t="shared" si="34"/>
        <v>0.00863765735404476</v>
      </c>
    </row>
    <row r="2078" ht="14.25" customHeight="1" spans="2:4">
      <c r="B2078" s="136">
        <v>43255</v>
      </c>
      <c r="C2078" s="128">
        <v>10628.5</v>
      </c>
      <c r="D2078" s="129">
        <f t="shared" si="34"/>
        <v>-0.00332596321211842</v>
      </c>
    </row>
    <row r="2079" ht="14.25" customHeight="1" spans="2:4">
      <c r="B2079" s="136">
        <v>43252</v>
      </c>
      <c r="C2079" s="128">
        <v>10696.2</v>
      </c>
      <c r="D2079" s="129">
        <f t="shared" si="34"/>
        <v>-0.00632935061049722</v>
      </c>
    </row>
    <row r="2080" ht="14.25" customHeight="1" spans="2:4">
      <c r="B2080" s="136">
        <v>43251</v>
      </c>
      <c r="C2080" s="128">
        <v>10736.15</v>
      </c>
      <c r="D2080" s="129">
        <f t="shared" si="34"/>
        <v>-0.00372107319662995</v>
      </c>
    </row>
    <row r="2081" ht="14.25" customHeight="1" spans="2:4">
      <c r="B2081" s="136">
        <v>43250</v>
      </c>
      <c r="C2081" s="128">
        <v>10614.35</v>
      </c>
      <c r="D2081" s="129">
        <f t="shared" si="34"/>
        <v>0.0114750314432819</v>
      </c>
    </row>
    <row r="2082" ht="14.25" customHeight="1" spans="2:4">
      <c r="B2082" s="136">
        <v>43249</v>
      </c>
      <c r="C2082" s="128">
        <v>10633.3</v>
      </c>
      <c r="D2082" s="129">
        <f t="shared" si="34"/>
        <v>-0.00178213724807907</v>
      </c>
    </row>
    <row r="2083" ht="14.25" customHeight="1" spans="2:4">
      <c r="B2083" s="136">
        <v>43248</v>
      </c>
      <c r="C2083" s="128">
        <v>10688.65</v>
      </c>
      <c r="D2083" s="129">
        <f t="shared" si="34"/>
        <v>-0.00517839016152655</v>
      </c>
    </row>
    <row r="2084" ht="14.25" customHeight="1" spans="2:4">
      <c r="B2084" s="136">
        <v>43245</v>
      </c>
      <c r="C2084" s="128">
        <v>10605.15</v>
      </c>
      <c r="D2084" s="129">
        <f t="shared" si="34"/>
        <v>0.00787353314191686</v>
      </c>
    </row>
    <row r="2085" ht="14.25" customHeight="1" spans="2:4">
      <c r="B2085" s="136">
        <v>43244</v>
      </c>
      <c r="C2085" s="128">
        <v>10513.85</v>
      </c>
      <c r="D2085" s="129">
        <f t="shared" si="34"/>
        <v>0.0086837837709306</v>
      </c>
    </row>
    <row r="2086" ht="14.25" customHeight="1" spans="2:4">
      <c r="B2086" s="136">
        <v>43243</v>
      </c>
      <c r="C2086" s="128">
        <v>10430.35</v>
      </c>
      <c r="D2086" s="129">
        <f t="shared" si="34"/>
        <v>0.00800548399622247</v>
      </c>
    </row>
    <row r="2087" ht="14.25" customHeight="1" spans="2:4">
      <c r="B2087" s="136">
        <v>43242</v>
      </c>
      <c r="C2087" s="128">
        <v>10536.7</v>
      </c>
      <c r="D2087" s="129">
        <f t="shared" si="34"/>
        <v>-0.0100932929664886</v>
      </c>
    </row>
    <row r="2088" ht="14.25" customHeight="1" spans="2:4">
      <c r="B2088" s="136">
        <v>43241</v>
      </c>
      <c r="C2088" s="128">
        <v>10516.7</v>
      </c>
      <c r="D2088" s="129">
        <f t="shared" si="34"/>
        <v>0.00190173723696607</v>
      </c>
    </row>
    <row r="2089" ht="14.25" customHeight="1" spans="2:4">
      <c r="B2089" s="136">
        <v>43238</v>
      </c>
      <c r="C2089" s="128">
        <v>10596.4</v>
      </c>
      <c r="D2089" s="129">
        <f t="shared" si="34"/>
        <v>-0.00752142236986131</v>
      </c>
    </row>
    <row r="2090" ht="14.25" customHeight="1" spans="2:4">
      <c r="B2090" s="136">
        <v>43237</v>
      </c>
      <c r="C2090" s="128">
        <v>10682.7</v>
      </c>
      <c r="D2090" s="129">
        <f t="shared" si="34"/>
        <v>-0.00807848203169625</v>
      </c>
    </row>
    <row r="2091" ht="14.25" customHeight="1" spans="2:4">
      <c r="B2091" s="136">
        <v>43236</v>
      </c>
      <c r="C2091" s="128">
        <v>10741.1</v>
      </c>
      <c r="D2091" s="129">
        <f t="shared" si="34"/>
        <v>-0.00543705951904361</v>
      </c>
    </row>
    <row r="2092" ht="14.25" customHeight="1" spans="2:4">
      <c r="B2092" s="136">
        <v>43235</v>
      </c>
      <c r="C2092" s="128">
        <v>10801.85</v>
      </c>
      <c r="D2092" s="129">
        <f t="shared" si="34"/>
        <v>-0.0056240366233562</v>
      </c>
    </row>
    <row r="2093" ht="14.25" customHeight="1" spans="2:4">
      <c r="B2093" s="136">
        <v>43234</v>
      </c>
      <c r="C2093" s="128">
        <v>10806.6</v>
      </c>
      <c r="D2093" s="129">
        <f t="shared" si="34"/>
        <v>-0.000439546203246155</v>
      </c>
    </row>
    <row r="2094" ht="14.25" customHeight="1" spans="2:4">
      <c r="B2094" s="136">
        <v>43231</v>
      </c>
      <c r="C2094" s="128">
        <v>10806.5</v>
      </c>
      <c r="D2094" s="129">
        <f t="shared" si="34"/>
        <v>9.25368990878361e-6</v>
      </c>
    </row>
    <row r="2095" ht="14.25" customHeight="1" spans="2:4">
      <c r="B2095" s="136">
        <v>43230</v>
      </c>
      <c r="C2095" s="128">
        <v>10716.55</v>
      </c>
      <c r="D2095" s="129">
        <f t="shared" si="34"/>
        <v>0.00839355949442688</v>
      </c>
    </row>
    <row r="2096" ht="14.25" customHeight="1" spans="2:4">
      <c r="B2096" s="136">
        <v>43229</v>
      </c>
      <c r="C2096" s="128">
        <v>10741.7</v>
      </c>
      <c r="D2096" s="129">
        <f t="shared" si="34"/>
        <v>-0.00234134261802144</v>
      </c>
    </row>
    <row r="2097" ht="14.25" customHeight="1" spans="2:4">
      <c r="B2097" s="136">
        <v>43228</v>
      </c>
      <c r="C2097" s="128">
        <v>10717.8</v>
      </c>
      <c r="D2097" s="129">
        <f t="shared" si="34"/>
        <v>0.00222993524790538</v>
      </c>
    </row>
    <row r="2098" ht="14.25" customHeight="1" spans="2:4">
      <c r="B2098" s="136">
        <v>43227</v>
      </c>
      <c r="C2098" s="128">
        <v>10715.5</v>
      </c>
      <c r="D2098" s="129">
        <f t="shared" si="34"/>
        <v>0.000214642340534699</v>
      </c>
    </row>
    <row r="2099" ht="14.25" customHeight="1" spans="2:4">
      <c r="B2099" s="136">
        <v>43224</v>
      </c>
      <c r="C2099" s="128">
        <v>10618.25</v>
      </c>
      <c r="D2099" s="129">
        <f t="shared" si="34"/>
        <v>0.00915875968262192</v>
      </c>
    </row>
    <row r="2100" ht="14.25" customHeight="1" spans="2:4">
      <c r="B2100" s="136">
        <v>43223</v>
      </c>
      <c r="C2100" s="128">
        <v>10679.65</v>
      </c>
      <c r="D2100" s="129">
        <f t="shared" si="34"/>
        <v>-0.00574925208223109</v>
      </c>
    </row>
    <row r="2101" ht="14.25" customHeight="1" spans="2:4">
      <c r="B2101" s="136">
        <v>43222</v>
      </c>
      <c r="C2101" s="128">
        <v>10718.05</v>
      </c>
      <c r="D2101" s="129">
        <f t="shared" si="34"/>
        <v>-0.00358274126356939</v>
      </c>
    </row>
    <row r="2102" ht="14.25" customHeight="1" spans="2:4">
      <c r="B2102" s="136">
        <v>43220</v>
      </c>
      <c r="C2102" s="128">
        <v>10739.35</v>
      </c>
      <c r="D2102" s="129">
        <f t="shared" si="34"/>
        <v>-0.00198336025923362</v>
      </c>
    </row>
    <row r="2103" ht="14.25" customHeight="1" spans="2:4">
      <c r="B2103" s="136">
        <v>43217</v>
      </c>
      <c r="C2103" s="128">
        <v>10692.3</v>
      </c>
      <c r="D2103" s="129">
        <f t="shared" si="34"/>
        <v>0.00440036287795897</v>
      </c>
    </row>
    <row r="2104" ht="14.25" customHeight="1" spans="2:4">
      <c r="B2104" s="136">
        <v>43216</v>
      </c>
      <c r="C2104" s="128">
        <v>10617.8</v>
      </c>
      <c r="D2104" s="129">
        <f t="shared" si="34"/>
        <v>0.00701651942963699</v>
      </c>
    </row>
    <row r="2105" ht="14.25" customHeight="1" spans="2:4">
      <c r="B2105" s="136">
        <v>43215</v>
      </c>
      <c r="C2105" s="128">
        <v>10570.55</v>
      </c>
      <c r="D2105" s="129">
        <f t="shared" si="34"/>
        <v>0.00446996608501915</v>
      </c>
    </row>
    <row r="2106" ht="14.25" customHeight="1" spans="2:4">
      <c r="B2106" s="136">
        <v>43214</v>
      </c>
      <c r="C2106" s="128">
        <v>10614.35</v>
      </c>
      <c r="D2106" s="129">
        <f t="shared" si="34"/>
        <v>-0.00412648913970248</v>
      </c>
    </row>
    <row r="2107" ht="14.25" customHeight="1" spans="2:4">
      <c r="B2107" s="136">
        <v>43213</v>
      </c>
      <c r="C2107" s="128">
        <v>10584.7</v>
      </c>
      <c r="D2107" s="129">
        <f t="shared" si="34"/>
        <v>0.00280121307169789</v>
      </c>
    </row>
    <row r="2108" ht="14.25" customHeight="1" spans="2:4">
      <c r="B2108" s="136">
        <v>43210</v>
      </c>
      <c r="C2108" s="128">
        <v>10564.05</v>
      </c>
      <c r="D2108" s="129">
        <f t="shared" si="34"/>
        <v>0.0019547427359774</v>
      </c>
    </row>
    <row r="2109" ht="14.25" customHeight="1" spans="2:4">
      <c r="B2109" s="136">
        <v>43209</v>
      </c>
      <c r="C2109" s="128">
        <v>10565.3</v>
      </c>
      <c r="D2109" s="129">
        <f t="shared" si="34"/>
        <v>-0.000118311832129736</v>
      </c>
    </row>
    <row r="2110" ht="14.25" customHeight="1" spans="2:4">
      <c r="B2110" s="136">
        <v>43208</v>
      </c>
      <c r="C2110" s="128">
        <v>10526.2</v>
      </c>
      <c r="D2110" s="129">
        <f t="shared" si="34"/>
        <v>0.00371454085994927</v>
      </c>
    </row>
    <row r="2111" ht="14.25" customHeight="1" spans="2:4">
      <c r="B2111" s="136">
        <v>43207</v>
      </c>
      <c r="C2111" s="128">
        <v>10548.7</v>
      </c>
      <c r="D2111" s="129">
        <f t="shared" si="34"/>
        <v>-0.0021329642515191</v>
      </c>
    </row>
    <row r="2112" ht="14.25" customHeight="1" spans="2:4">
      <c r="B2112" s="136">
        <v>43206</v>
      </c>
      <c r="C2112" s="128">
        <v>10528.35</v>
      </c>
      <c r="D2112" s="129">
        <f t="shared" si="34"/>
        <v>0.00193287647162199</v>
      </c>
    </row>
    <row r="2113" ht="14.25" customHeight="1" spans="2:4">
      <c r="B2113" s="136">
        <v>43203</v>
      </c>
      <c r="C2113" s="128">
        <v>10480.6</v>
      </c>
      <c r="D2113" s="129">
        <f t="shared" si="34"/>
        <v>0.00455603686811834</v>
      </c>
    </row>
    <row r="2114" ht="14.25" customHeight="1" spans="2:4">
      <c r="B2114" s="136">
        <v>43202</v>
      </c>
      <c r="C2114" s="128">
        <v>10458.65</v>
      </c>
      <c r="D2114" s="129">
        <f t="shared" ref="D2114:D2177" si="35">C2113/C2114-1</f>
        <v>0.00209874123333331</v>
      </c>
    </row>
    <row r="2115" ht="14.25" customHeight="1" spans="2:4">
      <c r="B2115" s="136">
        <v>43201</v>
      </c>
      <c r="C2115" s="128">
        <v>10417.15</v>
      </c>
      <c r="D2115" s="129">
        <f t="shared" si="35"/>
        <v>0.00398381515097701</v>
      </c>
    </row>
    <row r="2116" ht="14.25" customHeight="1" spans="2:4">
      <c r="B2116" s="136">
        <v>43200</v>
      </c>
      <c r="C2116" s="128">
        <v>10402.25</v>
      </c>
      <c r="D2116" s="129">
        <f t="shared" si="35"/>
        <v>0.00143238241726551</v>
      </c>
    </row>
    <row r="2117" ht="14.25" customHeight="1" spans="2:4">
      <c r="B2117" s="136">
        <v>43199</v>
      </c>
      <c r="C2117" s="128">
        <v>10379.35</v>
      </c>
      <c r="D2117" s="129">
        <f t="shared" si="35"/>
        <v>0.00220630386295873</v>
      </c>
    </row>
    <row r="2118" ht="14.25" customHeight="1" spans="2:4">
      <c r="B2118" s="136">
        <v>43196</v>
      </c>
      <c r="C2118" s="128">
        <v>10331.6</v>
      </c>
      <c r="D2118" s="129">
        <f t="shared" si="35"/>
        <v>0.00462174300205187</v>
      </c>
    </row>
    <row r="2119" ht="14.25" customHeight="1" spans="2:4">
      <c r="B2119" s="136">
        <v>43195</v>
      </c>
      <c r="C2119" s="128">
        <v>10325.15</v>
      </c>
      <c r="D2119" s="129">
        <f t="shared" si="35"/>
        <v>0.000624688261187556</v>
      </c>
    </row>
    <row r="2120" ht="14.25" customHeight="1" spans="2:4">
      <c r="B2120" s="136">
        <v>43194</v>
      </c>
      <c r="C2120" s="128">
        <v>10128.4</v>
      </c>
      <c r="D2120" s="129">
        <f t="shared" si="35"/>
        <v>0.0194255756091781</v>
      </c>
    </row>
    <row r="2121" ht="14.25" customHeight="1" spans="2:4">
      <c r="B2121" s="136">
        <v>43193</v>
      </c>
      <c r="C2121" s="128">
        <v>10245</v>
      </c>
      <c r="D2121" s="129">
        <f t="shared" si="35"/>
        <v>-0.0113811615422158</v>
      </c>
    </row>
    <row r="2122" ht="14.25" customHeight="1" spans="2:4">
      <c r="B2122" s="136">
        <v>43192</v>
      </c>
      <c r="C2122" s="128">
        <v>10211.8</v>
      </c>
      <c r="D2122" s="129">
        <f t="shared" si="35"/>
        <v>0.00325114083707101</v>
      </c>
    </row>
    <row r="2123" ht="14.25" customHeight="1" spans="2:4">
      <c r="B2123" s="136">
        <v>43187</v>
      </c>
      <c r="C2123" s="128">
        <v>10113.7</v>
      </c>
      <c r="D2123" s="129">
        <f t="shared" si="35"/>
        <v>0.00969971424898874</v>
      </c>
    </row>
    <row r="2124" ht="14.25" customHeight="1" spans="2:4">
      <c r="B2124" s="136">
        <v>43186</v>
      </c>
      <c r="C2124" s="128">
        <v>10184.15</v>
      </c>
      <c r="D2124" s="129">
        <f t="shared" si="35"/>
        <v>-0.00691761217185516</v>
      </c>
    </row>
    <row r="2125" ht="14.25" customHeight="1" spans="2:4">
      <c r="B2125" s="136">
        <v>43185</v>
      </c>
      <c r="C2125" s="128">
        <v>10130.65</v>
      </c>
      <c r="D2125" s="129">
        <f t="shared" si="35"/>
        <v>0.0052810036868316</v>
      </c>
    </row>
    <row r="2126" ht="14.25" customHeight="1" spans="2:4">
      <c r="B2126" s="136">
        <v>43182</v>
      </c>
      <c r="C2126" s="128">
        <v>9998.05</v>
      </c>
      <c r="D2126" s="129">
        <f t="shared" si="35"/>
        <v>0.0132625862043099</v>
      </c>
    </row>
    <row r="2127" ht="14.25" customHeight="1" spans="2:4">
      <c r="B2127" s="136">
        <v>43181</v>
      </c>
      <c r="C2127" s="128">
        <v>10114.75</v>
      </c>
      <c r="D2127" s="129">
        <f t="shared" si="35"/>
        <v>-0.0115376059714773</v>
      </c>
    </row>
    <row r="2128" ht="14.25" customHeight="1" spans="2:4">
      <c r="B2128" s="136">
        <v>43180</v>
      </c>
      <c r="C2128" s="128">
        <v>10155.25</v>
      </c>
      <c r="D2128" s="129">
        <f t="shared" si="35"/>
        <v>-0.00398808498067504</v>
      </c>
    </row>
    <row r="2129" ht="14.25" customHeight="1" spans="2:4">
      <c r="B2129" s="136">
        <v>43179</v>
      </c>
      <c r="C2129" s="128">
        <v>10124.35</v>
      </c>
      <c r="D2129" s="129">
        <f t="shared" si="35"/>
        <v>0.00305204778578383</v>
      </c>
    </row>
    <row r="2130" ht="14.25" customHeight="1" spans="2:4">
      <c r="B2130" s="136">
        <v>43178</v>
      </c>
      <c r="C2130" s="128">
        <v>10094.25</v>
      </c>
      <c r="D2130" s="129">
        <f t="shared" si="35"/>
        <v>0.00298189563365292</v>
      </c>
    </row>
    <row r="2131" ht="14.25" customHeight="1" spans="2:4">
      <c r="B2131" s="136">
        <v>43175</v>
      </c>
      <c r="C2131" s="128">
        <v>10195.15</v>
      </c>
      <c r="D2131" s="129">
        <f t="shared" si="35"/>
        <v>-0.00989686272394219</v>
      </c>
    </row>
    <row r="2132" ht="14.25" customHeight="1" spans="2:4">
      <c r="B2132" s="136">
        <v>43174</v>
      </c>
      <c r="C2132" s="128">
        <v>10360.15</v>
      </c>
      <c r="D2132" s="129">
        <f t="shared" si="35"/>
        <v>-0.0159264103318968</v>
      </c>
    </row>
    <row r="2133" ht="14.25" customHeight="1" spans="2:4">
      <c r="B2133" s="136">
        <v>43173</v>
      </c>
      <c r="C2133" s="128">
        <v>10410.9</v>
      </c>
      <c r="D2133" s="129">
        <f t="shared" si="35"/>
        <v>-0.00487469863316337</v>
      </c>
    </row>
    <row r="2134" ht="14.25" customHeight="1" spans="2:4">
      <c r="B2134" s="136">
        <v>43172</v>
      </c>
      <c r="C2134" s="128">
        <v>10426.85</v>
      </c>
      <c r="D2134" s="129">
        <f t="shared" si="35"/>
        <v>-0.00152970456082147</v>
      </c>
    </row>
    <row r="2135" ht="14.25" customHeight="1" spans="2:4">
      <c r="B2135" s="136">
        <v>43171</v>
      </c>
      <c r="C2135" s="128">
        <v>10421.4</v>
      </c>
      <c r="D2135" s="129">
        <f t="shared" si="35"/>
        <v>0.000522962365901103</v>
      </c>
    </row>
    <row r="2136" ht="14.25" customHeight="1" spans="2:4">
      <c r="B2136" s="136">
        <v>43168</v>
      </c>
      <c r="C2136" s="128">
        <v>10226.85</v>
      </c>
      <c r="D2136" s="129">
        <f t="shared" si="35"/>
        <v>0.0190234529693893</v>
      </c>
    </row>
    <row r="2137" ht="14.25" customHeight="1" spans="2:4">
      <c r="B2137" s="136">
        <v>43167</v>
      </c>
      <c r="C2137" s="128">
        <v>10242.65</v>
      </c>
      <c r="D2137" s="129">
        <f t="shared" si="35"/>
        <v>-0.00154256954987231</v>
      </c>
    </row>
    <row r="2138" ht="14.25" customHeight="1" spans="2:4">
      <c r="B2138" s="136">
        <v>43166</v>
      </c>
      <c r="C2138" s="128">
        <v>10154.2</v>
      </c>
      <c r="D2138" s="129">
        <f t="shared" si="35"/>
        <v>0.00871068129443953</v>
      </c>
    </row>
    <row r="2139" ht="14.25" customHeight="1" spans="2:4">
      <c r="B2139" s="136">
        <v>43165</v>
      </c>
      <c r="C2139" s="128">
        <v>10249.25</v>
      </c>
      <c r="D2139" s="129">
        <f t="shared" si="35"/>
        <v>-0.00927384930604669</v>
      </c>
    </row>
    <row r="2140" ht="14.25" customHeight="1" spans="2:4">
      <c r="B2140" s="136">
        <v>43164</v>
      </c>
      <c r="C2140" s="128">
        <v>10358.85</v>
      </c>
      <c r="D2140" s="129">
        <f t="shared" si="35"/>
        <v>-0.0105803250360803</v>
      </c>
    </row>
    <row r="2141" ht="14.25" customHeight="1" spans="2:4">
      <c r="B2141" s="136">
        <v>43160</v>
      </c>
      <c r="C2141" s="128">
        <v>10458.35</v>
      </c>
      <c r="D2141" s="129">
        <f t="shared" si="35"/>
        <v>-0.00951392906146764</v>
      </c>
    </row>
    <row r="2142" ht="14.25" customHeight="1" spans="2:4">
      <c r="B2142" s="136">
        <v>43159</v>
      </c>
      <c r="C2142" s="128">
        <v>10492.85</v>
      </c>
      <c r="D2142" s="129">
        <f t="shared" si="35"/>
        <v>-0.00328795322529152</v>
      </c>
    </row>
    <row r="2143" ht="14.25" customHeight="1" spans="2:4">
      <c r="B2143" s="136">
        <v>43158</v>
      </c>
      <c r="C2143" s="128">
        <v>10554.3</v>
      </c>
      <c r="D2143" s="129">
        <f t="shared" si="35"/>
        <v>-0.00582227149124048</v>
      </c>
    </row>
    <row r="2144" ht="14.25" customHeight="1" spans="2:4">
      <c r="B2144" s="136">
        <v>43157</v>
      </c>
      <c r="C2144" s="128">
        <v>10582.6</v>
      </c>
      <c r="D2144" s="129">
        <f t="shared" si="35"/>
        <v>-0.00267420104700178</v>
      </c>
    </row>
    <row r="2145" ht="14.25" customHeight="1" spans="2:4">
      <c r="B2145" s="136">
        <v>43154</v>
      </c>
      <c r="C2145" s="128">
        <v>10491.05</v>
      </c>
      <c r="D2145" s="129">
        <f t="shared" si="35"/>
        <v>0.00872648590941805</v>
      </c>
    </row>
    <row r="2146" ht="14.25" customHeight="1" spans="2:4">
      <c r="B2146" s="136">
        <v>43153</v>
      </c>
      <c r="C2146" s="128">
        <v>10382.7</v>
      </c>
      <c r="D2146" s="129">
        <f t="shared" si="35"/>
        <v>0.0104356284974041</v>
      </c>
    </row>
    <row r="2147" ht="14.25" customHeight="1" spans="2:4">
      <c r="B2147" s="136">
        <v>43152</v>
      </c>
      <c r="C2147" s="128">
        <v>10397.45</v>
      </c>
      <c r="D2147" s="129">
        <f t="shared" si="35"/>
        <v>-0.0014186170647611</v>
      </c>
    </row>
    <row r="2148" ht="14.25" customHeight="1" spans="2:4">
      <c r="B2148" s="136">
        <v>43151</v>
      </c>
      <c r="C2148" s="128">
        <v>10360.4</v>
      </c>
      <c r="D2148" s="129">
        <f t="shared" si="35"/>
        <v>0.003576116752249</v>
      </c>
    </row>
    <row r="2149" ht="14.25" customHeight="1" spans="2:4">
      <c r="B2149" s="136">
        <v>43150</v>
      </c>
      <c r="C2149" s="128">
        <v>10378.4</v>
      </c>
      <c r="D2149" s="129">
        <f t="shared" si="35"/>
        <v>-0.00173437138672627</v>
      </c>
    </row>
    <row r="2150" ht="14.25" customHeight="1" spans="2:4">
      <c r="B2150" s="136">
        <v>43147</v>
      </c>
      <c r="C2150" s="128">
        <v>10452.3</v>
      </c>
      <c r="D2150" s="129">
        <f t="shared" si="35"/>
        <v>-0.00707021421122622</v>
      </c>
    </row>
    <row r="2151" ht="14.25" customHeight="1" spans="2:4">
      <c r="B2151" s="136">
        <v>43146</v>
      </c>
      <c r="C2151" s="128">
        <v>10545.5</v>
      </c>
      <c r="D2151" s="129">
        <f t="shared" si="35"/>
        <v>-0.00883789294011672</v>
      </c>
    </row>
    <row r="2152" ht="14.25" customHeight="1" spans="2:4">
      <c r="B2152" s="136">
        <v>43145</v>
      </c>
      <c r="C2152" s="128">
        <v>10500.9</v>
      </c>
      <c r="D2152" s="129">
        <f t="shared" si="35"/>
        <v>0.00424725499719081</v>
      </c>
    </row>
    <row r="2153" ht="14.25" customHeight="1" spans="2:4">
      <c r="B2153" s="136">
        <v>43143</v>
      </c>
      <c r="C2153" s="128">
        <v>10539.75</v>
      </c>
      <c r="D2153" s="129">
        <f t="shared" si="35"/>
        <v>-0.00368604568419562</v>
      </c>
    </row>
    <row r="2154" ht="14.25" customHeight="1" spans="2:4">
      <c r="B2154" s="136">
        <v>43140</v>
      </c>
      <c r="C2154" s="128">
        <v>10454.95</v>
      </c>
      <c r="D2154" s="129">
        <f t="shared" si="35"/>
        <v>0.00811099048775921</v>
      </c>
    </row>
    <row r="2155" ht="14.25" customHeight="1" spans="2:4">
      <c r="B2155" s="136">
        <v>43139</v>
      </c>
      <c r="C2155" s="128">
        <v>10576.85</v>
      </c>
      <c r="D2155" s="129">
        <f t="shared" si="35"/>
        <v>-0.0115251705375419</v>
      </c>
    </row>
    <row r="2156" ht="14.25" customHeight="1" spans="2:4">
      <c r="B2156" s="136">
        <v>43138</v>
      </c>
      <c r="C2156" s="128">
        <v>10476.7</v>
      </c>
      <c r="D2156" s="129">
        <f t="shared" si="35"/>
        <v>0.00955930779730263</v>
      </c>
    </row>
    <row r="2157" ht="14.25" customHeight="1" spans="2:4">
      <c r="B2157" s="136">
        <v>43137</v>
      </c>
      <c r="C2157" s="128">
        <v>10498.25</v>
      </c>
      <c r="D2157" s="129">
        <f t="shared" si="35"/>
        <v>-0.00205272307289306</v>
      </c>
    </row>
    <row r="2158" ht="14.25" customHeight="1" spans="2:4">
      <c r="B2158" s="136">
        <v>43136</v>
      </c>
      <c r="C2158" s="128">
        <v>10666.55</v>
      </c>
      <c r="D2158" s="129">
        <f t="shared" si="35"/>
        <v>-0.0157782975751296</v>
      </c>
    </row>
    <row r="2159" ht="14.25" customHeight="1" spans="2:4">
      <c r="B2159" s="136">
        <v>43133</v>
      </c>
      <c r="C2159" s="128">
        <v>10760.6</v>
      </c>
      <c r="D2159" s="129">
        <f t="shared" si="35"/>
        <v>-0.00874021894689903</v>
      </c>
    </row>
    <row r="2160" ht="14.25" customHeight="1" spans="2:4">
      <c r="B2160" s="136">
        <v>43132</v>
      </c>
      <c r="C2160" s="128">
        <v>11016.9</v>
      </c>
      <c r="D2160" s="129">
        <f t="shared" si="35"/>
        <v>-0.023264257640534</v>
      </c>
    </row>
    <row r="2161" ht="14.25" customHeight="1" spans="2:4">
      <c r="B2161" s="136">
        <v>43131</v>
      </c>
      <c r="C2161" s="128">
        <v>11027.7</v>
      </c>
      <c r="D2161" s="129">
        <f t="shared" si="35"/>
        <v>-0.000979351995429756</v>
      </c>
    </row>
    <row r="2162" ht="14.25" customHeight="1" spans="2:4">
      <c r="B2162" s="136">
        <v>43130</v>
      </c>
      <c r="C2162" s="128">
        <v>11049.65</v>
      </c>
      <c r="D2162" s="129">
        <f t="shared" si="35"/>
        <v>-0.00198648825980907</v>
      </c>
    </row>
    <row r="2163" ht="14.25" customHeight="1" spans="2:4">
      <c r="B2163" s="136">
        <v>43129</v>
      </c>
      <c r="C2163" s="128">
        <v>11130.4</v>
      </c>
      <c r="D2163" s="129">
        <f t="shared" si="35"/>
        <v>-0.00725490548407959</v>
      </c>
    </row>
    <row r="2164" ht="14.25" customHeight="1" spans="2:4">
      <c r="B2164" s="136">
        <v>43125</v>
      </c>
      <c r="C2164" s="128">
        <v>11069.65</v>
      </c>
      <c r="D2164" s="129">
        <f t="shared" si="35"/>
        <v>0.0054879783913675</v>
      </c>
    </row>
    <row r="2165" ht="14.25" customHeight="1" spans="2:4">
      <c r="B2165" s="136">
        <v>43124</v>
      </c>
      <c r="C2165" s="128">
        <v>11086</v>
      </c>
      <c r="D2165" s="129">
        <f t="shared" si="35"/>
        <v>-0.00147483312285768</v>
      </c>
    </row>
    <row r="2166" ht="14.25" customHeight="1" spans="2:4">
      <c r="B2166" s="136">
        <v>43123</v>
      </c>
      <c r="C2166" s="128">
        <v>11083.7</v>
      </c>
      <c r="D2166" s="129">
        <f t="shared" si="35"/>
        <v>0.000207511931936022</v>
      </c>
    </row>
    <row r="2167" ht="14.25" customHeight="1" spans="2:4">
      <c r="B2167" s="136">
        <v>43122</v>
      </c>
      <c r="C2167" s="128">
        <v>10966.2</v>
      </c>
      <c r="D2167" s="129">
        <f t="shared" si="35"/>
        <v>0.0107147416607394</v>
      </c>
    </row>
    <row r="2168" ht="14.25" customHeight="1" spans="2:4">
      <c r="B2168" s="136">
        <v>43119</v>
      </c>
      <c r="C2168" s="128">
        <v>10894.7</v>
      </c>
      <c r="D2168" s="129">
        <f t="shared" si="35"/>
        <v>0.00656282412549225</v>
      </c>
    </row>
    <row r="2169" ht="14.25" customHeight="1" spans="2:4">
      <c r="B2169" s="136">
        <v>43118</v>
      </c>
      <c r="C2169" s="128">
        <v>10817</v>
      </c>
      <c r="D2169" s="129">
        <f t="shared" si="35"/>
        <v>0.00718313765369327</v>
      </c>
    </row>
    <row r="2170" ht="14.25" customHeight="1" spans="2:4">
      <c r="B2170" s="136">
        <v>43117</v>
      </c>
      <c r="C2170" s="128">
        <v>10788.55</v>
      </c>
      <c r="D2170" s="129">
        <f t="shared" si="35"/>
        <v>0.00263705502593026</v>
      </c>
    </row>
    <row r="2171" ht="14.25" customHeight="1" spans="2:4">
      <c r="B2171" s="136">
        <v>43116</v>
      </c>
      <c r="C2171" s="128">
        <v>10700.45</v>
      </c>
      <c r="D2171" s="129">
        <f t="shared" si="35"/>
        <v>0.00823329859959143</v>
      </c>
    </row>
    <row r="2172" ht="14.25" customHeight="1" spans="2:4">
      <c r="B2172" s="136">
        <v>43115</v>
      </c>
      <c r="C2172" s="128">
        <v>10741.55</v>
      </c>
      <c r="D2172" s="129">
        <f t="shared" si="35"/>
        <v>-0.00382626343497894</v>
      </c>
    </row>
    <row r="2173" ht="14.25" customHeight="1" spans="2:4">
      <c r="B2173" s="136">
        <v>43112</v>
      </c>
      <c r="C2173" s="128">
        <v>10681.25</v>
      </c>
      <c r="D2173" s="129">
        <f t="shared" si="35"/>
        <v>0.00564540667056757</v>
      </c>
    </row>
    <row r="2174" ht="14.25" customHeight="1" spans="2:4">
      <c r="B2174" s="136">
        <v>43111</v>
      </c>
      <c r="C2174" s="128">
        <v>10651.2</v>
      </c>
      <c r="D2174" s="129">
        <f t="shared" si="35"/>
        <v>0.00282127835361257</v>
      </c>
    </row>
    <row r="2175" ht="14.25" customHeight="1" spans="2:4">
      <c r="B2175" s="136">
        <v>43110</v>
      </c>
      <c r="C2175" s="128">
        <v>10632.2</v>
      </c>
      <c r="D2175" s="129">
        <f t="shared" si="35"/>
        <v>0.00178702432234146</v>
      </c>
    </row>
    <row r="2176" ht="14.25" customHeight="1" spans="2:4">
      <c r="B2176" s="136">
        <v>43109</v>
      </c>
      <c r="C2176" s="128">
        <v>10637</v>
      </c>
      <c r="D2176" s="129">
        <f t="shared" si="35"/>
        <v>-0.000451255053116384</v>
      </c>
    </row>
    <row r="2177" ht="14.25" customHeight="1" spans="2:4">
      <c r="B2177" s="136">
        <v>43108</v>
      </c>
      <c r="C2177" s="128">
        <v>10623.6</v>
      </c>
      <c r="D2177" s="129">
        <f t="shared" si="35"/>
        <v>0.00126134267103417</v>
      </c>
    </row>
    <row r="2178" ht="14.25" customHeight="1" spans="2:4">
      <c r="B2178" s="136">
        <v>43105</v>
      </c>
      <c r="C2178" s="128">
        <v>10558.85</v>
      </c>
      <c r="D2178" s="129">
        <f t="shared" ref="D2178:D2241" si="36">C2177/C2178-1</f>
        <v>0.00613229660427028</v>
      </c>
    </row>
    <row r="2179" ht="14.25" customHeight="1" spans="2:4">
      <c r="B2179" s="136">
        <v>43104</v>
      </c>
      <c r="C2179" s="128">
        <v>10504.8</v>
      </c>
      <c r="D2179" s="129">
        <f t="shared" si="36"/>
        <v>0.00514526692559603</v>
      </c>
    </row>
    <row r="2180" ht="14.25" customHeight="1" spans="2:4">
      <c r="B2180" s="136">
        <v>43103</v>
      </c>
      <c r="C2180" s="128">
        <v>10443.2</v>
      </c>
      <c r="D2180" s="129">
        <f t="shared" si="36"/>
        <v>0.00589857514937941</v>
      </c>
    </row>
    <row r="2181" ht="14.25" customHeight="1" spans="2:4">
      <c r="B2181" s="136">
        <v>43102</v>
      </c>
      <c r="C2181" s="128">
        <v>10442.2</v>
      </c>
      <c r="D2181" s="129">
        <f t="shared" si="36"/>
        <v>9.57652601942804e-5</v>
      </c>
    </row>
    <row r="2182" ht="14.25" customHeight="1" spans="2:4">
      <c r="B2182" s="136">
        <v>43101</v>
      </c>
      <c r="C2182" s="128">
        <v>10435.55</v>
      </c>
      <c r="D2182" s="129">
        <f t="shared" si="36"/>
        <v>0.00063724480262195</v>
      </c>
    </row>
    <row r="2183" ht="14.25" customHeight="1" spans="2:4">
      <c r="B2183" s="136">
        <v>43098</v>
      </c>
      <c r="C2183" s="128">
        <v>10530.7</v>
      </c>
      <c r="D2183" s="129">
        <f t="shared" si="36"/>
        <v>-0.00903548671978138</v>
      </c>
    </row>
    <row r="2184" ht="14.25" customHeight="1" spans="2:4">
      <c r="B2184" s="136">
        <v>43097</v>
      </c>
      <c r="C2184" s="128">
        <v>10477.9</v>
      </c>
      <c r="D2184" s="129">
        <f t="shared" si="36"/>
        <v>0.00503917769782114</v>
      </c>
    </row>
    <row r="2185" ht="14.25" customHeight="1" spans="2:4">
      <c r="B2185" s="136">
        <v>43096</v>
      </c>
      <c r="C2185" s="128">
        <v>10490.75</v>
      </c>
      <c r="D2185" s="129">
        <f t="shared" si="36"/>
        <v>-0.00122488859233139</v>
      </c>
    </row>
    <row r="2186" ht="14.25" customHeight="1" spans="2:4">
      <c r="B2186" s="136">
        <v>43095</v>
      </c>
      <c r="C2186" s="128">
        <v>10531.5</v>
      </c>
      <c r="D2186" s="129">
        <f t="shared" si="36"/>
        <v>-0.00386934434790864</v>
      </c>
    </row>
    <row r="2187" ht="14.25" customHeight="1" spans="2:4">
      <c r="B2187" s="136">
        <v>43091</v>
      </c>
      <c r="C2187" s="128">
        <v>10493</v>
      </c>
      <c r="D2187" s="129">
        <f t="shared" si="36"/>
        <v>0.0036691127418278</v>
      </c>
    </row>
    <row r="2188" ht="14.25" customHeight="1" spans="2:4">
      <c r="B2188" s="136">
        <v>43090</v>
      </c>
      <c r="C2188" s="128">
        <v>10440.3</v>
      </c>
      <c r="D2188" s="129">
        <f t="shared" si="36"/>
        <v>0.00504774767008609</v>
      </c>
    </row>
    <row r="2189" ht="14.25" customHeight="1" spans="2:4">
      <c r="B2189" s="136">
        <v>43089</v>
      </c>
      <c r="C2189" s="128">
        <v>10444.2</v>
      </c>
      <c r="D2189" s="129">
        <f t="shared" si="36"/>
        <v>-0.000373412994772337</v>
      </c>
    </row>
    <row r="2190" ht="14.25" customHeight="1" spans="2:4">
      <c r="B2190" s="136">
        <v>43088</v>
      </c>
      <c r="C2190" s="128">
        <v>10463.2</v>
      </c>
      <c r="D2190" s="129">
        <f t="shared" si="36"/>
        <v>-0.00181588806483679</v>
      </c>
    </row>
    <row r="2191" ht="14.25" customHeight="1" spans="2:4">
      <c r="B2191" s="136">
        <v>43087</v>
      </c>
      <c r="C2191" s="128">
        <v>10388.75</v>
      </c>
      <c r="D2191" s="129">
        <f t="shared" si="36"/>
        <v>0.00716640596799434</v>
      </c>
    </row>
    <row r="2192" ht="14.25" customHeight="1" spans="2:4">
      <c r="B2192" s="136">
        <v>43084</v>
      </c>
      <c r="C2192" s="128">
        <v>10333.25</v>
      </c>
      <c r="D2192" s="129">
        <f t="shared" si="36"/>
        <v>0.00537101105654081</v>
      </c>
    </row>
    <row r="2193" ht="14.25" customHeight="1" spans="2:4">
      <c r="B2193" s="136">
        <v>43083</v>
      </c>
      <c r="C2193" s="128">
        <v>10252.1</v>
      </c>
      <c r="D2193" s="129">
        <f t="shared" si="36"/>
        <v>0.00791545146847961</v>
      </c>
    </row>
    <row r="2194" ht="14.25" customHeight="1" spans="2:4">
      <c r="B2194" s="136">
        <v>43082</v>
      </c>
      <c r="C2194" s="128">
        <v>10192.95</v>
      </c>
      <c r="D2194" s="129">
        <f t="shared" si="36"/>
        <v>0.00580303052600084</v>
      </c>
    </row>
    <row r="2195" ht="14.25" customHeight="1" spans="2:4">
      <c r="B2195" s="136">
        <v>43081</v>
      </c>
      <c r="C2195" s="128">
        <v>10240.15</v>
      </c>
      <c r="D2195" s="129">
        <f t="shared" si="36"/>
        <v>-0.00460930748084731</v>
      </c>
    </row>
    <row r="2196" ht="14.25" customHeight="1" spans="2:4">
      <c r="B2196" s="136">
        <v>43080</v>
      </c>
      <c r="C2196" s="128">
        <v>10322.25</v>
      </c>
      <c r="D2196" s="129">
        <f t="shared" si="36"/>
        <v>-0.0079536922667055</v>
      </c>
    </row>
    <row r="2197" ht="14.25" customHeight="1" spans="2:4">
      <c r="B2197" s="136">
        <v>43077</v>
      </c>
      <c r="C2197" s="128">
        <v>10265.65</v>
      </c>
      <c r="D2197" s="129">
        <f t="shared" si="36"/>
        <v>0.00551353299596236</v>
      </c>
    </row>
    <row r="2198" ht="14.25" customHeight="1" spans="2:4">
      <c r="B2198" s="136">
        <v>43076</v>
      </c>
      <c r="C2198" s="128">
        <v>10166.7</v>
      </c>
      <c r="D2198" s="129">
        <f t="shared" si="36"/>
        <v>0.00973275497457382</v>
      </c>
    </row>
    <row r="2199" ht="14.25" customHeight="1" spans="2:4">
      <c r="B2199" s="136">
        <v>43075</v>
      </c>
      <c r="C2199" s="128">
        <v>10044.1</v>
      </c>
      <c r="D2199" s="129">
        <f t="shared" si="36"/>
        <v>0.0122061707868302</v>
      </c>
    </row>
    <row r="2200" ht="14.25" customHeight="1" spans="2:4">
      <c r="B2200" s="136">
        <v>43074</v>
      </c>
      <c r="C2200" s="128">
        <v>10118.25</v>
      </c>
      <c r="D2200" s="129">
        <f t="shared" si="36"/>
        <v>-0.00732834235169122</v>
      </c>
    </row>
    <row r="2201" ht="14.25" customHeight="1" spans="2:4">
      <c r="B2201" s="136">
        <v>43073</v>
      </c>
      <c r="C2201" s="128">
        <v>10127.75</v>
      </c>
      <c r="D2201" s="129">
        <f t="shared" si="36"/>
        <v>-0.000938016834933775</v>
      </c>
    </row>
    <row r="2202" ht="14.25" customHeight="1" spans="2:4">
      <c r="B2202" s="136">
        <v>43070</v>
      </c>
      <c r="C2202" s="128">
        <v>10121.8</v>
      </c>
      <c r="D2202" s="129">
        <f t="shared" si="36"/>
        <v>0.0005878401074908</v>
      </c>
    </row>
    <row r="2203" ht="14.25" customHeight="1" spans="2:4">
      <c r="B2203" s="136">
        <v>43069</v>
      </c>
      <c r="C2203" s="128">
        <v>10226.55</v>
      </c>
      <c r="D2203" s="129">
        <f t="shared" si="36"/>
        <v>-0.0102429460570769</v>
      </c>
    </row>
    <row r="2204" ht="14.25" customHeight="1" spans="2:4">
      <c r="B2204" s="136">
        <v>43068</v>
      </c>
      <c r="C2204" s="128">
        <v>10361.3</v>
      </c>
      <c r="D2204" s="129">
        <f t="shared" si="36"/>
        <v>-0.0130051248395472</v>
      </c>
    </row>
    <row r="2205" ht="14.25" customHeight="1" spans="2:4">
      <c r="B2205" s="136">
        <v>43067</v>
      </c>
      <c r="C2205" s="128">
        <v>10370.25</v>
      </c>
      <c r="D2205" s="129">
        <f t="shared" si="36"/>
        <v>-0.000863045731780865</v>
      </c>
    </row>
    <row r="2206" ht="14.25" customHeight="1" spans="2:4">
      <c r="B2206" s="136">
        <v>43066</v>
      </c>
      <c r="C2206" s="128">
        <v>10399.55</v>
      </c>
      <c r="D2206" s="129">
        <f t="shared" si="36"/>
        <v>-0.00281742960031917</v>
      </c>
    </row>
    <row r="2207" ht="14.25" customHeight="1" spans="2:4">
      <c r="B2207" s="136">
        <v>43063</v>
      </c>
      <c r="C2207" s="128">
        <v>10389.7</v>
      </c>
      <c r="D2207" s="129">
        <f t="shared" si="36"/>
        <v>0.000948054323031355</v>
      </c>
    </row>
    <row r="2208" ht="14.25" customHeight="1" spans="2:4">
      <c r="B2208" s="136">
        <v>43062</v>
      </c>
      <c r="C2208" s="128">
        <v>10348.75</v>
      </c>
      <c r="D2208" s="129">
        <f t="shared" si="36"/>
        <v>0.0039569996376374</v>
      </c>
    </row>
    <row r="2209" ht="14.25" customHeight="1" spans="2:4">
      <c r="B2209" s="136">
        <v>43061</v>
      </c>
      <c r="C2209" s="128">
        <v>10342.3</v>
      </c>
      <c r="D2209" s="129">
        <f t="shared" si="36"/>
        <v>0.000623652379064588</v>
      </c>
    </row>
    <row r="2210" ht="14.25" customHeight="1" spans="2:4">
      <c r="B2210" s="136">
        <v>43060</v>
      </c>
      <c r="C2210" s="128">
        <v>10326.9</v>
      </c>
      <c r="D2210" s="129">
        <f t="shared" si="36"/>
        <v>0.00149125100465763</v>
      </c>
    </row>
    <row r="2211" ht="14.25" customHeight="1" spans="2:4">
      <c r="B2211" s="136">
        <v>43059</v>
      </c>
      <c r="C2211" s="128">
        <v>10298.75</v>
      </c>
      <c r="D2211" s="129">
        <f t="shared" si="36"/>
        <v>0.0027333414249302</v>
      </c>
    </row>
    <row r="2212" ht="14.25" customHeight="1" spans="2:4">
      <c r="B2212" s="136">
        <v>43056</v>
      </c>
      <c r="C2212" s="128">
        <v>10283.6</v>
      </c>
      <c r="D2212" s="129">
        <f t="shared" si="36"/>
        <v>0.00147321949511836</v>
      </c>
    </row>
    <row r="2213" ht="14.25" customHeight="1" spans="2:4">
      <c r="B2213" s="136">
        <v>43055</v>
      </c>
      <c r="C2213" s="128">
        <v>10214.75</v>
      </c>
      <c r="D2213" s="129">
        <f t="shared" si="36"/>
        <v>0.00674025306542014</v>
      </c>
    </row>
    <row r="2214" ht="14.25" customHeight="1" spans="2:4">
      <c r="B2214" s="136">
        <v>43054</v>
      </c>
      <c r="C2214" s="128">
        <v>10118.05</v>
      </c>
      <c r="D2214" s="129">
        <f t="shared" si="36"/>
        <v>0.00955717751938367</v>
      </c>
    </row>
    <row r="2215" ht="14.25" customHeight="1" spans="2:4">
      <c r="B2215" s="136">
        <v>43053</v>
      </c>
      <c r="C2215" s="128">
        <v>10186.6</v>
      </c>
      <c r="D2215" s="129">
        <f t="shared" si="36"/>
        <v>-0.00672942885751882</v>
      </c>
    </row>
    <row r="2216" ht="14.25" customHeight="1" spans="2:4">
      <c r="B2216" s="136">
        <v>43052</v>
      </c>
      <c r="C2216" s="128">
        <v>10224.95</v>
      </c>
      <c r="D2216" s="129">
        <f t="shared" si="36"/>
        <v>-0.00375062958743078</v>
      </c>
    </row>
    <row r="2217" ht="14.25" customHeight="1" spans="2:4">
      <c r="B2217" s="136">
        <v>43049</v>
      </c>
      <c r="C2217" s="128">
        <v>10321.75</v>
      </c>
      <c r="D2217" s="129">
        <f t="shared" si="36"/>
        <v>-0.00937825465642927</v>
      </c>
    </row>
    <row r="2218" ht="14.25" customHeight="1" spans="2:4">
      <c r="B2218" s="136">
        <v>43048</v>
      </c>
      <c r="C2218" s="128">
        <v>10308.95</v>
      </c>
      <c r="D2218" s="129">
        <f t="shared" si="36"/>
        <v>0.00124163954621959</v>
      </c>
    </row>
    <row r="2219" ht="14.25" customHeight="1" spans="2:4">
      <c r="B2219" s="136">
        <v>43047</v>
      </c>
      <c r="C2219" s="128">
        <v>10303.15</v>
      </c>
      <c r="D2219" s="129">
        <f t="shared" si="36"/>
        <v>0.000562934636494816</v>
      </c>
    </row>
    <row r="2220" ht="14.25" customHeight="1" spans="2:4">
      <c r="B2220" s="136">
        <v>43046</v>
      </c>
      <c r="C2220" s="128">
        <v>10350.15</v>
      </c>
      <c r="D2220" s="129">
        <f t="shared" si="36"/>
        <v>-0.0045409969903818</v>
      </c>
    </row>
    <row r="2221" ht="14.25" customHeight="1" spans="2:4">
      <c r="B2221" s="136">
        <v>43045</v>
      </c>
      <c r="C2221" s="128">
        <v>10451.8</v>
      </c>
      <c r="D2221" s="129">
        <f t="shared" si="36"/>
        <v>-0.00972559750473601</v>
      </c>
    </row>
    <row r="2222" ht="14.25" customHeight="1" spans="2:4">
      <c r="B2222" s="136">
        <v>43042</v>
      </c>
      <c r="C2222" s="128">
        <v>10452.5</v>
      </c>
      <c r="D2222" s="129">
        <f t="shared" si="36"/>
        <v>-6.69696244918194e-5</v>
      </c>
    </row>
    <row r="2223" ht="14.25" customHeight="1" spans="2:4">
      <c r="B2223" s="136">
        <v>43041</v>
      </c>
      <c r="C2223" s="128">
        <v>10423.8</v>
      </c>
      <c r="D2223" s="129">
        <f t="shared" si="36"/>
        <v>0.00275331453020988</v>
      </c>
    </row>
    <row r="2224" ht="14.25" customHeight="1" spans="2:4">
      <c r="B2224" s="136">
        <v>43040</v>
      </c>
      <c r="C2224" s="128">
        <v>10440.5</v>
      </c>
      <c r="D2224" s="129">
        <f t="shared" si="36"/>
        <v>-0.00159954025190367</v>
      </c>
    </row>
    <row r="2225" ht="14.25" customHeight="1" spans="2:4">
      <c r="B2225" s="136">
        <v>43039</v>
      </c>
      <c r="C2225" s="128">
        <v>10335.3</v>
      </c>
      <c r="D2225" s="129">
        <f t="shared" si="36"/>
        <v>0.0101787079233309</v>
      </c>
    </row>
    <row r="2226" ht="14.25" customHeight="1" spans="2:4">
      <c r="B2226" s="136">
        <v>43038</v>
      </c>
      <c r="C2226" s="128">
        <v>10363.65</v>
      </c>
      <c r="D2226" s="129">
        <f t="shared" si="36"/>
        <v>-0.00273552271641753</v>
      </c>
    </row>
    <row r="2227" ht="14.25" customHeight="1" spans="2:4">
      <c r="B2227" s="136">
        <v>43035</v>
      </c>
      <c r="C2227" s="128">
        <v>10323.05</v>
      </c>
      <c r="D2227" s="129">
        <f t="shared" si="36"/>
        <v>0.00393294617385376</v>
      </c>
    </row>
    <row r="2228" ht="14.25" customHeight="1" spans="2:4">
      <c r="B2228" s="136">
        <v>43034</v>
      </c>
      <c r="C2228" s="128">
        <v>10343.8</v>
      </c>
      <c r="D2228" s="129">
        <f t="shared" si="36"/>
        <v>-0.00200603259923815</v>
      </c>
    </row>
    <row r="2229" ht="14.25" customHeight="1" spans="2:4">
      <c r="B2229" s="136">
        <v>43033</v>
      </c>
      <c r="C2229" s="128">
        <v>10295.35</v>
      </c>
      <c r="D2229" s="129">
        <f t="shared" si="36"/>
        <v>0.0047060080521788</v>
      </c>
    </row>
    <row r="2230" ht="14.25" customHeight="1" spans="2:4">
      <c r="B2230" s="136">
        <v>43032</v>
      </c>
      <c r="C2230" s="128">
        <v>10207.7</v>
      </c>
      <c r="D2230" s="129">
        <f t="shared" si="36"/>
        <v>0.00858665517207591</v>
      </c>
    </row>
    <row r="2231" ht="14.25" customHeight="1" spans="2:4">
      <c r="B2231" s="136">
        <v>43031</v>
      </c>
      <c r="C2231" s="128">
        <v>10184.85</v>
      </c>
      <c r="D2231" s="129">
        <f t="shared" si="36"/>
        <v>0.00224352837793385</v>
      </c>
    </row>
    <row r="2232" ht="14.25" customHeight="1" spans="2:4">
      <c r="B2232" s="136">
        <v>43027</v>
      </c>
      <c r="C2232" s="128">
        <v>10146.55</v>
      </c>
      <c r="D2232" s="129">
        <f t="shared" si="36"/>
        <v>0.00377468203478037</v>
      </c>
    </row>
    <row r="2233" ht="14.25" customHeight="1" spans="2:4">
      <c r="B2233" s="136">
        <v>43026</v>
      </c>
      <c r="C2233" s="128">
        <v>10210.85</v>
      </c>
      <c r="D2233" s="129">
        <f t="shared" si="36"/>
        <v>-0.0062972230519498</v>
      </c>
    </row>
    <row r="2234" ht="14.25" customHeight="1" spans="2:4">
      <c r="B2234" s="136">
        <v>43025</v>
      </c>
      <c r="C2234" s="128">
        <v>10234.45</v>
      </c>
      <c r="D2234" s="129">
        <f t="shared" si="36"/>
        <v>-0.0023059373000015</v>
      </c>
    </row>
    <row r="2235" ht="14.25" customHeight="1" spans="2:4">
      <c r="B2235" s="136">
        <v>43024</v>
      </c>
      <c r="C2235" s="128">
        <v>10230.85</v>
      </c>
      <c r="D2235" s="129">
        <f t="shared" si="36"/>
        <v>0.000351876921272476</v>
      </c>
    </row>
    <row r="2236" ht="14.25" customHeight="1" spans="2:4">
      <c r="B2236" s="136">
        <v>43021</v>
      </c>
      <c r="C2236" s="128">
        <v>10167.45</v>
      </c>
      <c r="D2236" s="129">
        <f t="shared" si="36"/>
        <v>0.00623558512704747</v>
      </c>
    </row>
    <row r="2237" ht="14.25" customHeight="1" spans="2:4">
      <c r="B2237" s="136">
        <v>43020</v>
      </c>
      <c r="C2237" s="128">
        <v>10096.4</v>
      </c>
      <c r="D2237" s="129">
        <f t="shared" si="36"/>
        <v>0.00703716176062774</v>
      </c>
    </row>
    <row r="2238" ht="14.25" customHeight="1" spans="2:4">
      <c r="B2238" s="136">
        <v>43019</v>
      </c>
      <c r="C2238" s="128">
        <v>9984.8</v>
      </c>
      <c r="D2238" s="129">
        <f t="shared" si="36"/>
        <v>0.0111769890233155</v>
      </c>
    </row>
    <row r="2239" ht="14.25" customHeight="1" spans="2:4">
      <c r="B2239" s="136">
        <v>43018</v>
      </c>
      <c r="C2239" s="128">
        <v>10016.95</v>
      </c>
      <c r="D2239" s="129">
        <f t="shared" si="36"/>
        <v>-0.00320955979614568</v>
      </c>
    </row>
    <row r="2240" ht="14.25" customHeight="1" spans="2:4">
      <c r="B2240" s="136">
        <v>43017</v>
      </c>
      <c r="C2240" s="128">
        <v>9988.75</v>
      </c>
      <c r="D2240" s="129">
        <f t="shared" si="36"/>
        <v>0.00282317607308236</v>
      </c>
    </row>
    <row r="2241" ht="14.25" customHeight="1" spans="2:4">
      <c r="B2241" s="136">
        <v>43014</v>
      </c>
      <c r="C2241" s="128">
        <v>9979.7</v>
      </c>
      <c r="D2241" s="129">
        <f t="shared" si="36"/>
        <v>0.000906840887000548</v>
      </c>
    </row>
    <row r="2242" ht="14.25" customHeight="1" spans="2:4">
      <c r="B2242" s="136">
        <v>43013</v>
      </c>
      <c r="C2242" s="128">
        <v>9888.7</v>
      </c>
      <c r="D2242" s="129">
        <f t="shared" ref="D2242:D2305" si="37">C2241/C2242-1</f>
        <v>0.00920242296762974</v>
      </c>
    </row>
    <row r="2243" ht="14.25" customHeight="1" spans="2:4">
      <c r="B2243" s="136">
        <v>43012</v>
      </c>
      <c r="C2243" s="128">
        <v>9914.9</v>
      </c>
      <c r="D2243" s="129">
        <f t="shared" si="37"/>
        <v>-0.00264248756921392</v>
      </c>
    </row>
    <row r="2244" ht="14.25" customHeight="1" spans="2:4">
      <c r="B2244" s="136">
        <v>43011</v>
      </c>
      <c r="C2244" s="128">
        <v>9859.5</v>
      </c>
      <c r="D2244" s="129">
        <f t="shared" si="37"/>
        <v>0.00561894619402592</v>
      </c>
    </row>
    <row r="2245" ht="14.25" customHeight="1" spans="2:4">
      <c r="B2245" s="136">
        <v>43007</v>
      </c>
      <c r="C2245" s="128">
        <v>9788.6</v>
      </c>
      <c r="D2245" s="129">
        <f t="shared" si="37"/>
        <v>0.00724311954722845</v>
      </c>
    </row>
    <row r="2246" ht="14.25" customHeight="1" spans="2:4">
      <c r="B2246" s="136">
        <v>43006</v>
      </c>
      <c r="C2246" s="128">
        <v>9768.95</v>
      </c>
      <c r="D2246" s="129">
        <f t="shared" si="37"/>
        <v>0.00201147513294675</v>
      </c>
    </row>
    <row r="2247" ht="14.25" customHeight="1" spans="2:4">
      <c r="B2247" s="136">
        <v>43005</v>
      </c>
      <c r="C2247" s="128">
        <v>9735.75</v>
      </c>
      <c r="D2247" s="129">
        <f t="shared" si="37"/>
        <v>0.0034101122152892</v>
      </c>
    </row>
    <row r="2248" ht="14.25" customHeight="1" spans="2:4">
      <c r="B2248" s="136">
        <v>43004</v>
      </c>
      <c r="C2248" s="128">
        <v>9871.5</v>
      </c>
      <c r="D2248" s="129">
        <f t="shared" si="37"/>
        <v>-0.0137517094666464</v>
      </c>
    </row>
    <row r="2249" ht="14.25" customHeight="1" spans="2:4">
      <c r="B2249" s="136">
        <v>43003</v>
      </c>
      <c r="C2249" s="128">
        <v>9872.6</v>
      </c>
      <c r="D2249" s="129">
        <f t="shared" si="37"/>
        <v>-0.000111419484229103</v>
      </c>
    </row>
    <row r="2250" ht="14.25" customHeight="1" spans="2:4">
      <c r="B2250" s="136">
        <v>43000</v>
      </c>
      <c r="C2250" s="128">
        <v>9964.4</v>
      </c>
      <c r="D2250" s="129">
        <f t="shared" si="37"/>
        <v>-0.00921279755931104</v>
      </c>
    </row>
    <row r="2251" ht="14.25" customHeight="1" spans="2:4">
      <c r="B2251" s="136">
        <v>42999</v>
      </c>
      <c r="C2251" s="128">
        <v>10121.9</v>
      </c>
      <c r="D2251" s="129">
        <f t="shared" si="37"/>
        <v>-0.0155603197028226</v>
      </c>
    </row>
    <row r="2252" ht="14.25" customHeight="1" spans="2:4">
      <c r="B2252" s="136">
        <v>42998</v>
      </c>
      <c r="C2252" s="128">
        <v>10141.15</v>
      </c>
      <c r="D2252" s="129">
        <f t="shared" si="37"/>
        <v>-0.00189820681086461</v>
      </c>
    </row>
    <row r="2253" ht="14.25" customHeight="1" spans="2:4">
      <c r="B2253" s="136">
        <v>42997</v>
      </c>
      <c r="C2253" s="128">
        <v>10147.55</v>
      </c>
      <c r="D2253" s="129">
        <f t="shared" si="37"/>
        <v>-0.000630694108430085</v>
      </c>
    </row>
    <row r="2254" ht="14.25" customHeight="1" spans="2:4">
      <c r="B2254" s="136">
        <v>42996</v>
      </c>
      <c r="C2254" s="128">
        <v>10153.1</v>
      </c>
      <c r="D2254" s="129">
        <f t="shared" si="37"/>
        <v>-0.000546631078192972</v>
      </c>
    </row>
    <row r="2255" ht="14.25" customHeight="1" spans="2:4">
      <c r="B2255" s="136">
        <v>42993</v>
      </c>
      <c r="C2255" s="128">
        <v>10085.4</v>
      </c>
      <c r="D2255" s="129">
        <f t="shared" si="37"/>
        <v>0.00671267376603812</v>
      </c>
    </row>
    <row r="2256" ht="14.25" customHeight="1" spans="2:4">
      <c r="B2256" s="136">
        <v>42992</v>
      </c>
      <c r="C2256" s="128">
        <v>10086.6</v>
      </c>
      <c r="D2256" s="129">
        <f t="shared" si="37"/>
        <v>-0.000118969722205819</v>
      </c>
    </row>
    <row r="2257" ht="14.25" customHeight="1" spans="2:4">
      <c r="B2257" s="136">
        <v>42991</v>
      </c>
      <c r="C2257" s="128">
        <v>10079.3</v>
      </c>
      <c r="D2257" s="129">
        <f t="shared" si="37"/>
        <v>0.000724256644806687</v>
      </c>
    </row>
    <row r="2258" ht="14.25" customHeight="1" spans="2:4">
      <c r="B2258" s="136">
        <v>42990</v>
      </c>
      <c r="C2258" s="128">
        <v>10093.05</v>
      </c>
      <c r="D2258" s="129">
        <f t="shared" si="37"/>
        <v>-0.00136232357909649</v>
      </c>
    </row>
    <row r="2259" ht="14.25" customHeight="1" spans="2:4">
      <c r="B2259" s="136">
        <v>42989</v>
      </c>
      <c r="C2259" s="128">
        <v>10006.05</v>
      </c>
      <c r="D2259" s="129">
        <f t="shared" si="37"/>
        <v>0.00869473968249213</v>
      </c>
    </row>
    <row r="2260" ht="14.25" customHeight="1" spans="2:4">
      <c r="B2260" s="136">
        <v>42986</v>
      </c>
      <c r="C2260" s="128">
        <v>9934.8</v>
      </c>
      <c r="D2260" s="129">
        <f t="shared" si="37"/>
        <v>0.00717175987438101</v>
      </c>
    </row>
    <row r="2261" ht="14.25" customHeight="1" spans="2:4">
      <c r="B2261" s="136">
        <v>42985</v>
      </c>
      <c r="C2261" s="128">
        <v>9929.9</v>
      </c>
      <c r="D2261" s="129">
        <f t="shared" si="37"/>
        <v>0.000493459148631858</v>
      </c>
    </row>
    <row r="2262" ht="14.25" customHeight="1" spans="2:4">
      <c r="B2262" s="136">
        <v>42984</v>
      </c>
      <c r="C2262" s="128">
        <v>9916.2</v>
      </c>
      <c r="D2262" s="129">
        <f t="shared" si="37"/>
        <v>0.00138157762045932</v>
      </c>
    </row>
    <row r="2263" ht="14.25" customHeight="1" spans="2:4">
      <c r="B2263" s="136">
        <v>42983</v>
      </c>
      <c r="C2263" s="128">
        <v>9952.2</v>
      </c>
      <c r="D2263" s="129">
        <f t="shared" si="37"/>
        <v>-0.00361729064930372</v>
      </c>
    </row>
    <row r="2264" ht="14.25" customHeight="1" spans="2:4">
      <c r="B2264" s="136">
        <v>42982</v>
      </c>
      <c r="C2264" s="128">
        <v>9912.85</v>
      </c>
      <c r="D2264" s="129">
        <f t="shared" si="37"/>
        <v>0.00396959502060468</v>
      </c>
    </row>
    <row r="2265" ht="14.25" customHeight="1" spans="2:4">
      <c r="B2265" s="136">
        <v>42979</v>
      </c>
      <c r="C2265" s="128">
        <v>9974.4</v>
      </c>
      <c r="D2265" s="129">
        <f t="shared" si="37"/>
        <v>-0.00617079724093672</v>
      </c>
    </row>
    <row r="2266" ht="14.25" customHeight="1" spans="2:4">
      <c r="B2266" s="136">
        <v>42978</v>
      </c>
      <c r="C2266" s="128">
        <v>9917.9</v>
      </c>
      <c r="D2266" s="129">
        <f t="shared" si="37"/>
        <v>0.0056967704856874</v>
      </c>
    </row>
    <row r="2267" ht="14.25" customHeight="1" spans="2:4">
      <c r="B2267" s="136">
        <v>42977</v>
      </c>
      <c r="C2267" s="128">
        <v>9884.4</v>
      </c>
      <c r="D2267" s="129">
        <f t="shared" si="37"/>
        <v>0.00338917890817858</v>
      </c>
    </row>
    <row r="2268" ht="14.25" customHeight="1" spans="2:4">
      <c r="B2268" s="136">
        <v>42976</v>
      </c>
      <c r="C2268" s="128">
        <v>9796.05</v>
      </c>
      <c r="D2268" s="129">
        <f t="shared" si="37"/>
        <v>0.0090189413079762</v>
      </c>
    </row>
    <row r="2269" ht="14.25" customHeight="1" spans="2:4">
      <c r="B2269" s="136">
        <v>42975</v>
      </c>
      <c r="C2269" s="128">
        <v>9912.8</v>
      </c>
      <c r="D2269" s="129">
        <f t="shared" si="37"/>
        <v>-0.0117777015575821</v>
      </c>
    </row>
    <row r="2270" ht="14.25" customHeight="1" spans="2:4">
      <c r="B2270" s="136">
        <v>42971</v>
      </c>
      <c r="C2270" s="128">
        <v>9857.05</v>
      </c>
      <c r="D2270" s="129">
        <f t="shared" si="37"/>
        <v>0.0056558503811992</v>
      </c>
    </row>
    <row r="2271" ht="14.25" customHeight="1" spans="2:4">
      <c r="B2271" s="136">
        <v>42970</v>
      </c>
      <c r="C2271" s="128">
        <v>9852.5</v>
      </c>
      <c r="D2271" s="129">
        <f t="shared" si="37"/>
        <v>0.00046181172291293</v>
      </c>
    </row>
    <row r="2272" ht="14.25" customHeight="1" spans="2:4">
      <c r="B2272" s="136">
        <v>42969</v>
      </c>
      <c r="C2272" s="128">
        <v>9765.55</v>
      </c>
      <c r="D2272" s="129">
        <f t="shared" si="37"/>
        <v>0.00890374838078767</v>
      </c>
    </row>
    <row r="2273" ht="14.25" customHeight="1" spans="2:4">
      <c r="B2273" s="136">
        <v>42968</v>
      </c>
      <c r="C2273" s="128">
        <v>9754.35</v>
      </c>
      <c r="D2273" s="129">
        <f t="shared" si="37"/>
        <v>0.00114820567234086</v>
      </c>
    </row>
    <row r="2274" ht="14.25" customHeight="1" spans="2:4">
      <c r="B2274" s="136">
        <v>42965</v>
      </c>
      <c r="C2274" s="128">
        <v>9837.4</v>
      </c>
      <c r="D2274" s="129">
        <f t="shared" si="37"/>
        <v>-0.00844227133185593</v>
      </c>
    </row>
    <row r="2275" ht="14.25" customHeight="1" spans="2:4">
      <c r="B2275" s="136">
        <v>42964</v>
      </c>
      <c r="C2275" s="128">
        <v>9904.15</v>
      </c>
      <c r="D2275" s="129">
        <f t="shared" si="37"/>
        <v>-0.00673959905696098</v>
      </c>
    </row>
    <row r="2276" ht="14.25" customHeight="1" spans="2:4">
      <c r="B2276" s="136">
        <v>42963</v>
      </c>
      <c r="C2276" s="128">
        <v>9897.3</v>
      </c>
      <c r="D2276" s="129">
        <f t="shared" si="37"/>
        <v>0.000692107948632392</v>
      </c>
    </row>
    <row r="2277" ht="14.25" customHeight="1" spans="2:4">
      <c r="B2277" s="136">
        <v>42961</v>
      </c>
      <c r="C2277" s="128">
        <v>9794.15</v>
      </c>
      <c r="D2277" s="129">
        <f t="shared" si="37"/>
        <v>0.0105317970421119</v>
      </c>
    </row>
    <row r="2278" ht="14.25" customHeight="1" spans="2:4">
      <c r="B2278" s="136">
        <v>42958</v>
      </c>
      <c r="C2278" s="128">
        <v>9710.8</v>
      </c>
      <c r="D2278" s="129">
        <f t="shared" si="37"/>
        <v>0.00858322692260161</v>
      </c>
    </row>
    <row r="2279" ht="14.25" customHeight="1" spans="2:4">
      <c r="B2279" s="136">
        <v>42957</v>
      </c>
      <c r="C2279" s="128">
        <v>9820.25</v>
      </c>
      <c r="D2279" s="129">
        <f t="shared" si="37"/>
        <v>-0.011145337440493</v>
      </c>
    </row>
    <row r="2280" ht="14.25" customHeight="1" spans="2:4">
      <c r="B2280" s="136">
        <v>42956</v>
      </c>
      <c r="C2280" s="128">
        <v>9908.05</v>
      </c>
      <c r="D2280" s="129">
        <f t="shared" si="37"/>
        <v>-0.00886148132074416</v>
      </c>
    </row>
    <row r="2281" ht="14.25" customHeight="1" spans="2:4">
      <c r="B2281" s="136">
        <v>42955</v>
      </c>
      <c r="C2281" s="128">
        <v>9978.55</v>
      </c>
      <c r="D2281" s="129">
        <f t="shared" si="37"/>
        <v>-0.00706515475695368</v>
      </c>
    </row>
    <row r="2282" ht="14.25" customHeight="1" spans="2:4">
      <c r="B2282" s="136">
        <v>42954</v>
      </c>
      <c r="C2282" s="128">
        <v>10057.4</v>
      </c>
      <c r="D2282" s="129">
        <f t="shared" si="37"/>
        <v>-0.00783999840913163</v>
      </c>
    </row>
    <row r="2283" ht="14.25" customHeight="1" spans="2:4">
      <c r="B2283" s="136">
        <v>42951</v>
      </c>
      <c r="C2283" s="128">
        <v>10066.4</v>
      </c>
      <c r="D2283" s="129">
        <f t="shared" si="37"/>
        <v>-0.000894063418898527</v>
      </c>
    </row>
    <row r="2284" ht="14.25" customHeight="1" spans="2:4">
      <c r="B2284" s="136">
        <v>42950</v>
      </c>
      <c r="C2284" s="128">
        <v>10013.65</v>
      </c>
      <c r="D2284" s="129">
        <f t="shared" si="37"/>
        <v>0.00526780944011418</v>
      </c>
    </row>
    <row r="2285" ht="14.25" customHeight="1" spans="2:4">
      <c r="B2285" s="136">
        <v>42949</v>
      </c>
      <c r="C2285" s="128">
        <v>10081.5</v>
      </c>
      <c r="D2285" s="129">
        <f t="shared" si="37"/>
        <v>-0.00673014928334081</v>
      </c>
    </row>
    <row r="2286" ht="14.25" customHeight="1" spans="2:4">
      <c r="B2286" s="136">
        <v>42948</v>
      </c>
      <c r="C2286" s="128">
        <v>10114.65</v>
      </c>
      <c r="D2286" s="129">
        <f t="shared" si="37"/>
        <v>-0.00327742433005584</v>
      </c>
    </row>
    <row r="2287" ht="14.25" customHeight="1" spans="2:4">
      <c r="B2287" s="136">
        <v>42947</v>
      </c>
      <c r="C2287" s="128">
        <v>10077.1</v>
      </c>
      <c r="D2287" s="129">
        <f t="shared" si="37"/>
        <v>0.00372627045479357</v>
      </c>
    </row>
    <row r="2288" ht="14.25" customHeight="1" spans="2:4">
      <c r="B2288" s="136">
        <v>42944</v>
      </c>
      <c r="C2288" s="128">
        <v>10014.5</v>
      </c>
      <c r="D2288" s="129">
        <f t="shared" si="37"/>
        <v>0.00625093614259331</v>
      </c>
    </row>
    <row r="2289" ht="14.25" customHeight="1" spans="2:4">
      <c r="B2289" s="136">
        <v>42943</v>
      </c>
      <c r="C2289" s="128">
        <v>10020.55</v>
      </c>
      <c r="D2289" s="129">
        <f t="shared" si="37"/>
        <v>-0.000603759274690474</v>
      </c>
    </row>
    <row r="2290" ht="14.25" customHeight="1" spans="2:4">
      <c r="B2290" s="136">
        <v>42942</v>
      </c>
      <c r="C2290" s="128">
        <v>10020.65</v>
      </c>
      <c r="D2290" s="129">
        <f t="shared" si="37"/>
        <v>-9.9793925544267e-6</v>
      </c>
    </row>
    <row r="2291" ht="14.25" customHeight="1" spans="2:4">
      <c r="B2291" s="136">
        <v>42941</v>
      </c>
      <c r="C2291" s="128">
        <v>9964.55</v>
      </c>
      <c r="D2291" s="129">
        <f t="shared" si="37"/>
        <v>0.00562995820182555</v>
      </c>
    </row>
    <row r="2292" ht="14.25" customHeight="1" spans="2:4">
      <c r="B2292" s="136">
        <v>42940</v>
      </c>
      <c r="C2292" s="128">
        <v>9966.4</v>
      </c>
      <c r="D2292" s="129">
        <f t="shared" si="37"/>
        <v>-0.000185623695617365</v>
      </c>
    </row>
    <row r="2293" ht="14.25" customHeight="1" spans="2:4">
      <c r="B2293" s="136">
        <v>42937</v>
      </c>
      <c r="C2293" s="128">
        <v>9915.25</v>
      </c>
      <c r="D2293" s="129">
        <f t="shared" si="37"/>
        <v>0.00515872015329921</v>
      </c>
    </row>
    <row r="2294" ht="14.25" customHeight="1" spans="2:4">
      <c r="B2294" s="136">
        <v>42936</v>
      </c>
      <c r="C2294" s="128">
        <v>9873.3</v>
      </c>
      <c r="D2294" s="129">
        <f t="shared" si="37"/>
        <v>0.0042488327104413</v>
      </c>
    </row>
    <row r="2295" ht="14.25" customHeight="1" spans="2:4">
      <c r="B2295" s="136">
        <v>42935</v>
      </c>
      <c r="C2295" s="128">
        <v>9899.6</v>
      </c>
      <c r="D2295" s="129">
        <f t="shared" si="37"/>
        <v>-0.00265667299688888</v>
      </c>
    </row>
    <row r="2296" ht="14.25" customHeight="1" spans="2:4">
      <c r="B2296" s="136">
        <v>42934</v>
      </c>
      <c r="C2296" s="128">
        <v>9827.15</v>
      </c>
      <c r="D2296" s="129">
        <f t="shared" si="37"/>
        <v>0.00737243249568809</v>
      </c>
    </row>
    <row r="2297" ht="14.25" customHeight="1" spans="2:4">
      <c r="B2297" s="136">
        <v>42933</v>
      </c>
      <c r="C2297" s="128">
        <v>9915.95</v>
      </c>
      <c r="D2297" s="129">
        <f t="shared" si="37"/>
        <v>-0.00895526903624977</v>
      </c>
    </row>
    <row r="2298" ht="14.25" customHeight="1" spans="2:4">
      <c r="B2298" s="136">
        <v>42930</v>
      </c>
      <c r="C2298" s="128">
        <v>9886.35</v>
      </c>
      <c r="D2298" s="129">
        <f t="shared" si="37"/>
        <v>0.00299402711819829</v>
      </c>
    </row>
    <row r="2299" ht="14.25" customHeight="1" spans="2:4">
      <c r="B2299" s="136">
        <v>42929</v>
      </c>
      <c r="C2299" s="128">
        <v>9891.7</v>
      </c>
      <c r="D2299" s="129">
        <f t="shared" si="37"/>
        <v>-0.000540857486579727</v>
      </c>
    </row>
    <row r="2300" ht="14.25" customHeight="1" spans="2:4">
      <c r="B2300" s="136">
        <v>42928</v>
      </c>
      <c r="C2300" s="128">
        <v>9816.1</v>
      </c>
      <c r="D2300" s="129">
        <f t="shared" si="37"/>
        <v>0.00770163303144833</v>
      </c>
    </row>
    <row r="2301" ht="14.25" customHeight="1" spans="2:4">
      <c r="B2301" s="136">
        <v>42927</v>
      </c>
      <c r="C2301" s="128">
        <v>9786.05</v>
      </c>
      <c r="D2301" s="129">
        <f t="shared" si="37"/>
        <v>0.00307069757460887</v>
      </c>
    </row>
    <row r="2302" ht="14.25" customHeight="1" spans="2:4">
      <c r="B2302" s="136">
        <v>42926</v>
      </c>
      <c r="C2302" s="128">
        <v>9771.05</v>
      </c>
      <c r="D2302" s="129">
        <f t="shared" si="37"/>
        <v>0.00153514719503023</v>
      </c>
    </row>
    <row r="2303" ht="14.25" customHeight="1" spans="2:4">
      <c r="B2303" s="136">
        <v>42923</v>
      </c>
      <c r="C2303" s="128">
        <v>9665.8</v>
      </c>
      <c r="D2303" s="129">
        <f t="shared" si="37"/>
        <v>0.0108889072813425</v>
      </c>
    </row>
    <row r="2304" ht="14.25" customHeight="1" spans="2:4">
      <c r="B2304" s="136">
        <v>42922</v>
      </c>
      <c r="C2304" s="128">
        <v>9674.55</v>
      </c>
      <c r="D2304" s="129">
        <f t="shared" si="37"/>
        <v>-0.000904434831594192</v>
      </c>
    </row>
    <row r="2305" ht="14.25" customHeight="1" spans="2:4">
      <c r="B2305" s="136">
        <v>42921</v>
      </c>
      <c r="C2305" s="128">
        <v>9637.6</v>
      </c>
      <c r="D2305" s="129">
        <f t="shared" si="37"/>
        <v>0.00383394206026377</v>
      </c>
    </row>
    <row r="2306" ht="14.25" customHeight="1" spans="2:4">
      <c r="B2306" s="136">
        <v>42920</v>
      </c>
      <c r="C2306" s="128">
        <v>9613.3</v>
      </c>
      <c r="D2306" s="129">
        <f t="shared" ref="D2306:D2369" si="38">C2305/C2306-1</f>
        <v>0.00252774801576994</v>
      </c>
    </row>
    <row r="2307" ht="14.25" customHeight="1" spans="2:4">
      <c r="B2307" s="136">
        <v>42919</v>
      </c>
      <c r="C2307" s="128">
        <v>9615</v>
      </c>
      <c r="D2307" s="129">
        <f t="shared" si="38"/>
        <v>-0.000176807072282958</v>
      </c>
    </row>
    <row r="2308" ht="14.25" customHeight="1" spans="2:4">
      <c r="B2308" s="136">
        <v>42916</v>
      </c>
      <c r="C2308" s="128">
        <v>9520.9</v>
      </c>
      <c r="D2308" s="129">
        <f t="shared" si="38"/>
        <v>0.0098835194151814</v>
      </c>
    </row>
    <row r="2309" ht="14.25" customHeight="1" spans="2:4">
      <c r="B2309" s="136">
        <v>42915</v>
      </c>
      <c r="C2309" s="128">
        <v>9504.1</v>
      </c>
      <c r="D2309" s="129">
        <f t="shared" si="38"/>
        <v>0.00176765816857971</v>
      </c>
    </row>
    <row r="2310" ht="14.25" customHeight="1" spans="2:4">
      <c r="B2310" s="136">
        <v>42914</v>
      </c>
      <c r="C2310" s="128">
        <v>9491.25</v>
      </c>
      <c r="D2310" s="129">
        <f t="shared" si="38"/>
        <v>0.00135387857236924</v>
      </c>
    </row>
    <row r="2311" ht="14.25" customHeight="1" spans="2:4">
      <c r="B2311" s="136">
        <v>42913</v>
      </c>
      <c r="C2311" s="128">
        <v>9511.4</v>
      </c>
      <c r="D2311" s="129">
        <f t="shared" si="38"/>
        <v>-0.00211851041907607</v>
      </c>
    </row>
    <row r="2312" ht="14.25" customHeight="1" spans="2:4">
      <c r="B2312" s="136">
        <v>42909</v>
      </c>
      <c r="C2312" s="128">
        <v>9574.95</v>
      </c>
      <c r="D2312" s="129">
        <f t="shared" si="38"/>
        <v>-0.00663711037655557</v>
      </c>
    </row>
    <row r="2313" ht="14.25" customHeight="1" spans="2:4">
      <c r="B2313" s="136">
        <v>42908</v>
      </c>
      <c r="C2313" s="128">
        <v>9630</v>
      </c>
      <c r="D2313" s="129">
        <f t="shared" si="38"/>
        <v>-0.00571651090342673</v>
      </c>
    </row>
    <row r="2314" ht="14.25" customHeight="1" spans="2:4">
      <c r="B2314" s="136">
        <v>42907</v>
      </c>
      <c r="C2314" s="128">
        <v>9633.6</v>
      </c>
      <c r="D2314" s="129">
        <f t="shared" si="38"/>
        <v>-0.000373692077727972</v>
      </c>
    </row>
    <row r="2315" ht="14.25" customHeight="1" spans="2:4">
      <c r="B2315" s="136">
        <v>42906</v>
      </c>
      <c r="C2315" s="128">
        <v>9653.5</v>
      </c>
      <c r="D2315" s="129">
        <f t="shared" si="38"/>
        <v>-0.00206142849743618</v>
      </c>
    </row>
    <row r="2316" ht="14.25" customHeight="1" spans="2:4">
      <c r="B2316" s="136">
        <v>42905</v>
      </c>
      <c r="C2316" s="128">
        <v>9657.55</v>
      </c>
      <c r="D2316" s="129">
        <f t="shared" si="38"/>
        <v>-0.000419361018063502</v>
      </c>
    </row>
    <row r="2317" ht="14.25" customHeight="1" spans="2:4">
      <c r="B2317" s="136">
        <v>42902</v>
      </c>
      <c r="C2317" s="128">
        <v>9588.05</v>
      </c>
      <c r="D2317" s="129">
        <f t="shared" si="38"/>
        <v>0.00724860633809787</v>
      </c>
    </row>
    <row r="2318" ht="14.25" customHeight="1" spans="2:4">
      <c r="B2318" s="136">
        <v>42901</v>
      </c>
      <c r="C2318" s="128">
        <v>9578.05</v>
      </c>
      <c r="D2318" s="129">
        <f t="shared" si="38"/>
        <v>0.00104405385229778</v>
      </c>
    </row>
    <row r="2319" ht="14.25" customHeight="1" spans="2:4">
      <c r="B2319" s="136">
        <v>42900</v>
      </c>
      <c r="C2319" s="128">
        <v>9618.15</v>
      </c>
      <c r="D2319" s="129">
        <f t="shared" si="38"/>
        <v>-0.00416920093781037</v>
      </c>
    </row>
    <row r="2320" ht="14.25" customHeight="1" spans="2:4">
      <c r="B2320" s="136">
        <v>42899</v>
      </c>
      <c r="C2320" s="128">
        <v>9606.9</v>
      </c>
      <c r="D2320" s="129">
        <f t="shared" si="38"/>
        <v>0.0011710333198014</v>
      </c>
    </row>
    <row r="2321" ht="14.25" customHeight="1" spans="2:4">
      <c r="B2321" s="136">
        <v>42898</v>
      </c>
      <c r="C2321" s="128">
        <v>9616.4</v>
      </c>
      <c r="D2321" s="129">
        <f t="shared" si="38"/>
        <v>-0.000987895678216333</v>
      </c>
    </row>
    <row r="2322" ht="14.25" customHeight="1" spans="2:4">
      <c r="B2322" s="136">
        <v>42895</v>
      </c>
      <c r="C2322" s="128">
        <v>9668.25</v>
      </c>
      <c r="D2322" s="129">
        <f t="shared" si="38"/>
        <v>-0.00536291469500694</v>
      </c>
    </row>
    <row r="2323" ht="14.25" customHeight="1" spans="2:4">
      <c r="B2323" s="136">
        <v>42894</v>
      </c>
      <c r="C2323" s="128">
        <v>9647.25</v>
      </c>
      <c r="D2323" s="129">
        <f t="shared" si="38"/>
        <v>0.00217678613076266</v>
      </c>
    </row>
    <row r="2324" ht="14.25" customHeight="1" spans="2:4">
      <c r="B2324" s="136">
        <v>42893</v>
      </c>
      <c r="C2324" s="128">
        <v>9663.9</v>
      </c>
      <c r="D2324" s="129">
        <f t="shared" si="38"/>
        <v>-0.00172290690094057</v>
      </c>
    </row>
    <row r="2325" ht="14.25" customHeight="1" spans="2:4">
      <c r="B2325" s="136">
        <v>42892</v>
      </c>
      <c r="C2325" s="128">
        <v>9637.15</v>
      </c>
      <c r="D2325" s="129">
        <f t="shared" si="38"/>
        <v>0.00277571688725398</v>
      </c>
    </row>
    <row r="2326" ht="14.25" customHeight="1" spans="2:4">
      <c r="B2326" s="136">
        <v>42891</v>
      </c>
      <c r="C2326" s="128">
        <v>9675.1</v>
      </c>
      <c r="D2326" s="129">
        <f t="shared" si="38"/>
        <v>-0.0039224400781388</v>
      </c>
    </row>
    <row r="2327" ht="14.25" customHeight="1" spans="2:4">
      <c r="B2327" s="136">
        <v>42888</v>
      </c>
      <c r="C2327" s="128">
        <v>9653.5</v>
      </c>
      <c r="D2327" s="129">
        <f t="shared" si="38"/>
        <v>0.00223753042937802</v>
      </c>
    </row>
    <row r="2328" ht="14.25" customHeight="1" spans="2:4">
      <c r="B2328" s="136">
        <v>42887</v>
      </c>
      <c r="C2328" s="128">
        <v>9616.1</v>
      </c>
      <c r="D2328" s="129">
        <f t="shared" si="38"/>
        <v>0.00388931063528863</v>
      </c>
    </row>
    <row r="2329" ht="14.25" customHeight="1" spans="2:4">
      <c r="B2329" s="136">
        <v>42886</v>
      </c>
      <c r="C2329" s="128">
        <v>9621.25</v>
      </c>
      <c r="D2329" s="129">
        <f t="shared" si="38"/>
        <v>-0.00053527348317528</v>
      </c>
    </row>
    <row r="2330" ht="14.25" customHeight="1" spans="2:4">
      <c r="B2330" s="136">
        <v>42885</v>
      </c>
      <c r="C2330" s="128">
        <v>9624.55</v>
      </c>
      <c r="D2330" s="129">
        <f t="shared" si="38"/>
        <v>-0.00034287317329118</v>
      </c>
    </row>
    <row r="2331" ht="14.25" customHeight="1" spans="2:4">
      <c r="B2331" s="136">
        <v>42884</v>
      </c>
      <c r="C2331" s="128">
        <v>9604.9</v>
      </c>
      <c r="D2331" s="129">
        <f t="shared" si="38"/>
        <v>0.00204583077387577</v>
      </c>
    </row>
    <row r="2332" ht="14.25" customHeight="1" spans="2:4">
      <c r="B2332" s="136">
        <v>42881</v>
      </c>
      <c r="C2332" s="128">
        <v>9595.1</v>
      </c>
      <c r="D2332" s="129">
        <f t="shared" si="38"/>
        <v>0.00102135464976905</v>
      </c>
    </row>
    <row r="2333" ht="14.25" customHeight="1" spans="2:4">
      <c r="B2333" s="136">
        <v>42880</v>
      </c>
      <c r="C2333" s="128">
        <v>9509.75</v>
      </c>
      <c r="D2333" s="129">
        <f t="shared" si="38"/>
        <v>0.0089749993427799</v>
      </c>
    </row>
    <row r="2334" ht="14.25" customHeight="1" spans="2:4">
      <c r="B2334" s="136">
        <v>42879</v>
      </c>
      <c r="C2334" s="128">
        <v>9360.55</v>
      </c>
      <c r="D2334" s="129">
        <f t="shared" si="38"/>
        <v>0.0159392343398626</v>
      </c>
    </row>
    <row r="2335" ht="14.25" customHeight="1" spans="2:4">
      <c r="B2335" s="136">
        <v>42878</v>
      </c>
      <c r="C2335" s="128">
        <v>9386.15</v>
      </c>
      <c r="D2335" s="129">
        <f t="shared" si="38"/>
        <v>-0.00272742285175498</v>
      </c>
    </row>
    <row r="2336" ht="14.25" customHeight="1" spans="2:4">
      <c r="B2336" s="136">
        <v>42877</v>
      </c>
      <c r="C2336" s="128">
        <v>9438.25</v>
      </c>
      <c r="D2336" s="129">
        <f t="shared" si="38"/>
        <v>-0.00552009111858665</v>
      </c>
    </row>
    <row r="2337" ht="14.25" customHeight="1" spans="2:4">
      <c r="B2337" s="136">
        <v>42874</v>
      </c>
      <c r="C2337" s="128">
        <v>9427.9</v>
      </c>
      <c r="D2337" s="129">
        <f t="shared" si="38"/>
        <v>0.00109780544978211</v>
      </c>
    </row>
    <row r="2338" ht="14.25" customHeight="1" spans="2:4">
      <c r="B2338" s="136">
        <v>42873</v>
      </c>
      <c r="C2338" s="128">
        <v>9429.45</v>
      </c>
      <c r="D2338" s="129">
        <f t="shared" si="38"/>
        <v>-0.000164378622295125</v>
      </c>
    </row>
    <row r="2339" ht="14.25" customHeight="1" spans="2:4">
      <c r="B2339" s="136">
        <v>42872</v>
      </c>
      <c r="C2339" s="128">
        <v>9525.75</v>
      </c>
      <c r="D2339" s="129">
        <f t="shared" si="38"/>
        <v>-0.0101094402015589</v>
      </c>
    </row>
    <row r="2340" ht="14.25" customHeight="1" spans="2:4">
      <c r="B2340" s="136">
        <v>42871</v>
      </c>
      <c r="C2340" s="128">
        <v>9512.25</v>
      </c>
      <c r="D2340" s="129">
        <f t="shared" si="38"/>
        <v>0.00141922258140825</v>
      </c>
    </row>
    <row r="2341" ht="14.25" customHeight="1" spans="2:4">
      <c r="B2341" s="136">
        <v>42870</v>
      </c>
      <c r="C2341" s="128">
        <v>9445.4</v>
      </c>
      <c r="D2341" s="129">
        <f t="shared" si="38"/>
        <v>0.00707751921570288</v>
      </c>
    </row>
    <row r="2342" ht="14.25" customHeight="1" spans="2:4">
      <c r="B2342" s="136">
        <v>42867</v>
      </c>
      <c r="C2342" s="128">
        <v>9400.9</v>
      </c>
      <c r="D2342" s="129">
        <f t="shared" si="38"/>
        <v>0.00473358933719115</v>
      </c>
    </row>
    <row r="2343" ht="14.25" customHeight="1" spans="2:4">
      <c r="B2343" s="136">
        <v>42866</v>
      </c>
      <c r="C2343" s="128">
        <v>9422.4</v>
      </c>
      <c r="D2343" s="129">
        <f t="shared" si="38"/>
        <v>-0.00228179656987604</v>
      </c>
    </row>
    <row r="2344" ht="14.25" customHeight="1" spans="2:4">
      <c r="B2344" s="136">
        <v>42865</v>
      </c>
      <c r="C2344" s="128">
        <v>9407.3</v>
      </c>
      <c r="D2344" s="129">
        <f t="shared" si="38"/>
        <v>0.00160513643659721</v>
      </c>
    </row>
    <row r="2345" ht="14.25" customHeight="1" spans="2:4">
      <c r="B2345" s="136">
        <v>42864</v>
      </c>
      <c r="C2345" s="128">
        <v>9316.85</v>
      </c>
      <c r="D2345" s="129">
        <f t="shared" si="38"/>
        <v>0.00970821683294232</v>
      </c>
    </row>
    <row r="2346" ht="14.25" customHeight="1" spans="2:4">
      <c r="B2346" s="136">
        <v>42863</v>
      </c>
      <c r="C2346" s="128">
        <v>9314.05</v>
      </c>
      <c r="D2346" s="129">
        <f t="shared" si="38"/>
        <v>0.000300621104675214</v>
      </c>
    </row>
    <row r="2347" ht="14.25" customHeight="1" spans="2:4">
      <c r="B2347" s="136">
        <v>42860</v>
      </c>
      <c r="C2347" s="128">
        <v>9285.3</v>
      </c>
      <c r="D2347" s="129">
        <f t="shared" si="38"/>
        <v>0.00309629198841188</v>
      </c>
    </row>
    <row r="2348" ht="14.25" customHeight="1" spans="2:4">
      <c r="B2348" s="136">
        <v>42859</v>
      </c>
      <c r="C2348" s="128">
        <v>9359.9</v>
      </c>
      <c r="D2348" s="129">
        <f t="shared" si="38"/>
        <v>-0.00797017062148109</v>
      </c>
    </row>
    <row r="2349" ht="14.25" customHeight="1" spans="2:4">
      <c r="B2349" s="136">
        <v>42858</v>
      </c>
      <c r="C2349" s="128">
        <v>9311.95</v>
      </c>
      <c r="D2349" s="129">
        <f t="shared" si="38"/>
        <v>0.00514929740816905</v>
      </c>
    </row>
    <row r="2350" ht="14.25" customHeight="1" spans="2:4">
      <c r="B2350" s="136">
        <v>42857</v>
      </c>
      <c r="C2350" s="128">
        <v>9313.8</v>
      </c>
      <c r="D2350" s="129">
        <f t="shared" si="38"/>
        <v>-0.000198629989907273</v>
      </c>
    </row>
    <row r="2351" ht="14.25" customHeight="1" spans="2:4">
      <c r="B2351" s="136">
        <v>42853</v>
      </c>
      <c r="C2351" s="128">
        <v>9304.05</v>
      </c>
      <c r="D2351" s="129">
        <f t="shared" si="38"/>
        <v>0.001047930739839</v>
      </c>
    </row>
    <row r="2352" ht="14.25" customHeight="1" spans="2:4">
      <c r="B2352" s="136">
        <v>42852</v>
      </c>
      <c r="C2352" s="128">
        <v>9342.15</v>
      </c>
      <c r="D2352" s="129">
        <f t="shared" si="38"/>
        <v>-0.00407829032931395</v>
      </c>
    </row>
    <row r="2353" ht="14.25" customHeight="1" spans="2:4">
      <c r="B2353" s="136">
        <v>42851</v>
      </c>
      <c r="C2353" s="128">
        <v>9351.85</v>
      </c>
      <c r="D2353" s="129">
        <f t="shared" si="38"/>
        <v>-0.00103722792816408</v>
      </c>
    </row>
    <row r="2354" ht="14.25" customHeight="1" spans="2:4">
      <c r="B2354" s="136">
        <v>42850</v>
      </c>
      <c r="C2354" s="128">
        <v>9306.6</v>
      </c>
      <c r="D2354" s="129">
        <f t="shared" si="38"/>
        <v>0.00486214084628123</v>
      </c>
    </row>
    <row r="2355" ht="14.25" customHeight="1" spans="2:4">
      <c r="B2355" s="136">
        <v>42849</v>
      </c>
      <c r="C2355" s="128">
        <v>9217.95</v>
      </c>
      <c r="D2355" s="129">
        <f t="shared" si="38"/>
        <v>0.00961710575561803</v>
      </c>
    </row>
    <row r="2356" ht="14.25" customHeight="1" spans="2:4">
      <c r="B2356" s="136">
        <v>42846</v>
      </c>
      <c r="C2356" s="128">
        <v>9119.4</v>
      </c>
      <c r="D2356" s="129">
        <f t="shared" si="38"/>
        <v>0.0108066320152642</v>
      </c>
    </row>
    <row r="2357" ht="14.25" customHeight="1" spans="2:4">
      <c r="B2357" s="136">
        <v>42845</v>
      </c>
      <c r="C2357" s="128">
        <v>9136.4</v>
      </c>
      <c r="D2357" s="129">
        <f t="shared" si="38"/>
        <v>-0.00186068911168513</v>
      </c>
    </row>
    <row r="2358" ht="14.25" customHeight="1" spans="2:4">
      <c r="B2358" s="136">
        <v>42844</v>
      </c>
      <c r="C2358" s="128">
        <v>9103.5</v>
      </c>
      <c r="D2358" s="129">
        <f t="shared" si="38"/>
        <v>0.00361399461745471</v>
      </c>
    </row>
    <row r="2359" ht="14.25" customHeight="1" spans="2:4">
      <c r="B2359" s="136">
        <v>42843</v>
      </c>
      <c r="C2359" s="128">
        <v>9105.15</v>
      </c>
      <c r="D2359" s="129">
        <f t="shared" si="38"/>
        <v>-0.000181216124940264</v>
      </c>
    </row>
    <row r="2360" ht="14.25" customHeight="1" spans="2:4">
      <c r="B2360" s="136">
        <v>42842</v>
      </c>
      <c r="C2360" s="128">
        <v>9139.3</v>
      </c>
      <c r="D2360" s="129">
        <f t="shared" si="38"/>
        <v>-0.00373661002483772</v>
      </c>
    </row>
    <row r="2361" ht="14.25" customHeight="1" spans="2:4">
      <c r="B2361" s="136">
        <v>42838</v>
      </c>
      <c r="C2361" s="128">
        <v>9150.8</v>
      </c>
      <c r="D2361" s="129">
        <f t="shared" si="38"/>
        <v>-0.00125672072387117</v>
      </c>
    </row>
    <row r="2362" ht="14.25" customHeight="1" spans="2:4">
      <c r="B2362" s="136">
        <v>42837</v>
      </c>
      <c r="C2362" s="128">
        <v>9203.45</v>
      </c>
      <c r="D2362" s="129">
        <f t="shared" si="38"/>
        <v>-0.00572068083164479</v>
      </c>
    </row>
    <row r="2363" ht="14.25" customHeight="1" spans="2:4">
      <c r="B2363" s="136">
        <v>42836</v>
      </c>
      <c r="C2363" s="128">
        <v>9237</v>
      </c>
      <c r="D2363" s="129">
        <f t="shared" si="38"/>
        <v>-0.00363213164447318</v>
      </c>
    </row>
    <row r="2364" ht="14.25" customHeight="1" spans="2:4">
      <c r="B2364" s="136">
        <v>42835</v>
      </c>
      <c r="C2364" s="128">
        <v>9181.45</v>
      </c>
      <c r="D2364" s="129">
        <f t="shared" si="38"/>
        <v>0.0060502426087381</v>
      </c>
    </row>
    <row r="2365" ht="14.25" customHeight="1" spans="2:4">
      <c r="B2365" s="136">
        <v>42832</v>
      </c>
      <c r="C2365" s="128">
        <v>9198.3</v>
      </c>
      <c r="D2365" s="129">
        <f t="shared" si="38"/>
        <v>-0.00183186023504323</v>
      </c>
    </row>
    <row r="2366" ht="14.25" customHeight="1" spans="2:4">
      <c r="B2366" s="136">
        <v>42831</v>
      </c>
      <c r="C2366" s="128">
        <v>9261.95</v>
      </c>
      <c r="D2366" s="129">
        <f t="shared" si="38"/>
        <v>-0.00687220293782642</v>
      </c>
    </row>
    <row r="2367" ht="14.25" customHeight="1" spans="2:4">
      <c r="B2367" s="136">
        <v>42830</v>
      </c>
      <c r="C2367" s="128">
        <v>9265.15</v>
      </c>
      <c r="D2367" s="129">
        <f t="shared" si="38"/>
        <v>-0.000345380269072715</v>
      </c>
    </row>
    <row r="2368" ht="14.25" customHeight="1" spans="2:4">
      <c r="B2368" s="136">
        <v>42828</v>
      </c>
      <c r="C2368" s="128">
        <v>9237.85</v>
      </c>
      <c r="D2368" s="129">
        <f t="shared" si="38"/>
        <v>0.00295523308995049</v>
      </c>
    </row>
    <row r="2369" ht="14.25" customHeight="1" spans="2:4">
      <c r="B2369" s="136">
        <v>42825</v>
      </c>
      <c r="C2369" s="128">
        <v>9173.75</v>
      </c>
      <c r="D2369" s="129">
        <f t="shared" si="38"/>
        <v>0.00698732797383839</v>
      </c>
    </row>
    <row r="2370" ht="14.25" customHeight="1" spans="2:4">
      <c r="B2370" s="136">
        <v>42824</v>
      </c>
      <c r="C2370" s="128">
        <v>9173.75</v>
      </c>
      <c r="D2370" s="129">
        <f t="shared" ref="D2370:D2433" si="39">C2369/C2370-1</f>
        <v>0</v>
      </c>
    </row>
    <row r="2371" ht="14.25" customHeight="1" spans="2:4">
      <c r="B2371" s="136">
        <v>42823</v>
      </c>
      <c r="C2371" s="128">
        <v>9143.8</v>
      </c>
      <c r="D2371" s="129">
        <f t="shared" si="39"/>
        <v>0.00327544346989228</v>
      </c>
    </row>
    <row r="2372" ht="14.25" customHeight="1" spans="2:4">
      <c r="B2372" s="136">
        <v>42822</v>
      </c>
      <c r="C2372" s="128">
        <v>9100.8</v>
      </c>
      <c r="D2372" s="129">
        <f t="shared" si="39"/>
        <v>0.0047248593530238</v>
      </c>
    </row>
    <row r="2373" ht="14.25" customHeight="1" spans="2:4">
      <c r="B2373" s="136">
        <v>42821</v>
      </c>
      <c r="C2373" s="128">
        <v>9045.2</v>
      </c>
      <c r="D2373" s="129">
        <f t="shared" si="39"/>
        <v>0.0061469066466191</v>
      </c>
    </row>
    <row r="2374" ht="14.25" customHeight="1" spans="2:4">
      <c r="B2374" s="136">
        <v>42818</v>
      </c>
      <c r="C2374" s="128">
        <v>9108</v>
      </c>
      <c r="D2374" s="129">
        <f t="shared" si="39"/>
        <v>-0.00689503732981989</v>
      </c>
    </row>
    <row r="2375" ht="14.25" customHeight="1" spans="2:4">
      <c r="B2375" s="136">
        <v>42817</v>
      </c>
      <c r="C2375" s="128">
        <v>9086.3</v>
      </c>
      <c r="D2375" s="129">
        <f t="shared" si="39"/>
        <v>0.0023882108228872</v>
      </c>
    </row>
    <row r="2376" ht="14.25" customHeight="1" spans="2:4">
      <c r="B2376" s="136">
        <v>42816</v>
      </c>
      <c r="C2376" s="128">
        <v>9030.45</v>
      </c>
      <c r="D2376" s="129">
        <f t="shared" si="39"/>
        <v>0.0061846308877187</v>
      </c>
    </row>
    <row r="2377" ht="14.25" customHeight="1" spans="2:4">
      <c r="B2377" s="136">
        <v>42815</v>
      </c>
      <c r="C2377" s="128">
        <v>9121.5</v>
      </c>
      <c r="D2377" s="129">
        <f t="shared" si="39"/>
        <v>-0.00998191086992262</v>
      </c>
    </row>
    <row r="2378" ht="14.25" customHeight="1" spans="2:4">
      <c r="B2378" s="136">
        <v>42814</v>
      </c>
      <c r="C2378" s="128">
        <v>9126.85</v>
      </c>
      <c r="D2378" s="129">
        <f t="shared" si="39"/>
        <v>-0.000586182527378076</v>
      </c>
    </row>
    <row r="2379" ht="14.25" customHeight="1" spans="2:4">
      <c r="B2379" s="136">
        <v>42811</v>
      </c>
      <c r="C2379" s="128">
        <v>9160.05</v>
      </c>
      <c r="D2379" s="129">
        <f t="shared" si="39"/>
        <v>-0.00362443436444115</v>
      </c>
    </row>
    <row r="2380" ht="14.25" customHeight="1" spans="2:4">
      <c r="B2380" s="136">
        <v>42810</v>
      </c>
      <c r="C2380" s="128">
        <v>9153.7</v>
      </c>
      <c r="D2380" s="129">
        <f t="shared" si="39"/>
        <v>0.000693708555010275</v>
      </c>
    </row>
    <row r="2381" ht="14.25" customHeight="1" spans="2:4">
      <c r="B2381" s="136">
        <v>42809</v>
      </c>
      <c r="C2381" s="128">
        <v>9084.8</v>
      </c>
      <c r="D2381" s="129">
        <f t="shared" si="39"/>
        <v>0.00758409651285685</v>
      </c>
    </row>
    <row r="2382" ht="14.25" customHeight="1" spans="2:4">
      <c r="B2382" s="136">
        <v>42808</v>
      </c>
      <c r="C2382" s="128">
        <v>9087</v>
      </c>
      <c r="D2382" s="129">
        <f t="shared" si="39"/>
        <v>-0.000242104104765106</v>
      </c>
    </row>
    <row r="2383" ht="14.25" customHeight="1" spans="2:4">
      <c r="B2383" s="136">
        <v>42804</v>
      </c>
      <c r="C2383" s="128">
        <v>8934.55</v>
      </c>
      <c r="D2383" s="129">
        <f t="shared" si="39"/>
        <v>0.0170629746321864</v>
      </c>
    </row>
    <row r="2384" ht="14.25" customHeight="1" spans="2:4">
      <c r="B2384" s="136">
        <v>42803</v>
      </c>
      <c r="C2384" s="128">
        <v>8927</v>
      </c>
      <c r="D2384" s="129">
        <f t="shared" si="39"/>
        <v>0.000845748851797889</v>
      </c>
    </row>
    <row r="2385" ht="14.25" customHeight="1" spans="2:4">
      <c r="B2385" s="136">
        <v>42802</v>
      </c>
      <c r="C2385" s="128">
        <v>8924.3</v>
      </c>
      <c r="D2385" s="129">
        <f t="shared" si="39"/>
        <v>0.000302544737402544</v>
      </c>
    </row>
    <row r="2386" ht="14.25" customHeight="1" spans="2:4">
      <c r="B2386" s="136">
        <v>42801</v>
      </c>
      <c r="C2386" s="128">
        <v>8946.9</v>
      </c>
      <c r="D2386" s="129">
        <f t="shared" si="39"/>
        <v>-0.00252601459723478</v>
      </c>
    </row>
    <row r="2387" ht="14.25" customHeight="1" spans="2:4">
      <c r="B2387" s="136">
        <v>42800</v>
      </c>
      <c r="C2387" s="128">
        <v>8963.45</v>
      </c>
      <c r="D2387" s="129">
        <f t="shared" si="39"/>
        <v>-0.00184638727275777</v>
      </c>
    </row>
    <row r="2388" ht="14.25" customHeight="1" spans="2:4">
      <c r="B2388" s="136">
        <v>42797</v>
      </c>
      <c r="C2388" s="128">
        <v>8897.55</v>
      </c>
      <c r="D2388" s="129">
        <f t="shared" si="39"/>
        <v>0.00740653325915575</v>
      </c>
    </row>
    <row r="2389" ht="14.25" customHeight="1" spans="2:4">
      <c r="B2389" s="136">
        <v>42796</v>
      </c>
      <c r="C2389" s="128">
        <v>8899.75</v>
      </c>
      <c r="D2389" s="129">
        <f t="shared" si="39"/>
        <v>-0.000247197954998835</v>
      </c>
    </row>
    <row r="2390" ht="14.25" customHeight="1" spans="2:4">
      <c r="B2390" s="136">
        <v>42795</v>
      </c>
      <c r="C2390" s="128">
        <v>8945.8</v>
      </c>
      <c r="D2390" s="129">
        <f t="shared" si="39"/>
        <v>-0.00514766706163783</v>
      </c>
    </row>
    <row r="2391" ht="14.25" customHeight="1" spans="2:4">
      <c r="B2391" s="136">
        <v>42794</v>
      </c>
      <c r="C2391" s="128">
        <v>8879.6</v>
      </c>
      <c r="D2391" s="129">
        <f t="shared" si="39"/>
        <v>0.00745529077886387</v>
      </c>
    </row>
    <row r="2392" ht="14.25" customHeight="1" spans="2:4">
      <c r="B2392" s="136">
        <v>42793</v>
      </c>
      <c r="C2392" s="128">
        <v>8896.7</v>
      </c>
      <c r="D2392" s="129">
        <f t="shared" si="39"/>
        <v>-0.00192206098890602</v>
      </c>
    </row>
    <row r="2393" ht="14.25" customHeight="1" spans="2:4">
      <c r="B2393" s="136">
        <v>42789</v>
      </c>
      <c r="C2393" s="128">
        <v>8939.5</v>
      </c>
      <c r="D2393" s="129">
        <f t="shared" si="39"/>
        <v>-0.00478773980647684</v>
      </c>
    </row>
    <row r="2394" ht="14.25" customHeight="1" spans="2:4">
      <c r="B2394" s="136">
        <v>42788</v>
      </c>
      <c r="C2394" s="128">
        <v>8926.9</v>
      </c>
      <c r="D2394" s="129">
        <f t="shared" si="39"/>
        <v>0.00141146422610317</v>
      </c>
    </row>
    <row r="2395" ht="14.25" customHeight="1" spans="2:4">
      <c r="B2395" s="136">
        <v>42787</v>
      </c>
      <c r="C2395" s="128">
        <v>8907.85</v>
      </c>
      <c r="D2395" s="129">
        <f t="shared" si="39"/>
        <v>0.002138563177422</v>
      </c>
    </row>
    <row r="2396" ht="14.25" customHeight="1" spans="2:4">
      <c r="B2396" s="136">
        <v>42786</v>
      </c>
      <c r="C2396" s="128">
        <v>8879.2</v>
      </c>
      <c r="D2396" s="129">
        <f t="shared" si="39"/>
        <v>0.00322664203982326</v>
      </c>
    </row>
    <row r="2397" ht="14.25" customHeight="1" spans="2:4">
      <c r="B2397" s="136">
        <v>42783</v>
      </c>
      <c r="C2397" s="128">
        <v>8821.7</v>
      </c>
      <c r="D2397" s="129">
        <f t="shared" si="39"/>
        <v>0.00651801806907959</v>
      </c>
    </row>
    <row r="2398" ht="14.25" customHeight="1" spans="2:4">
      <c r="B2398" s="136">
        <v>42782</v>
      </c>
      <c r="C2398" s="128">
        <v>8778</v>
      </c>
      <c r="D2398" s="129">
        <f t="shared" si="39"/>
        <v>0.00497835497835508</v>
      </c>
    </row>
    <row r="2399" ht="14.25" customHeight="1" spans="2:4">
      <c r="B2399" s="136">
        <v>42781</v>
      </c>
      <c r="C2399" s="128">
        <v>8724.7</v>
      </c>
      <c r="D2399" s="129">
        <f t="shared" si="39"/>
        <v>0.00610909257624903</v>
      </c>
    </row>
    <row r="2400" ht="14.25" customHeight="1" spans="2:4">
      <c r="B2400" s="136">
        <v>42780</v>
      </c>
      <c r="C2400" s="128">
        <v>8792.3</v>
      </c>
      <c r="D2400" s="129">
        <f t="shared" si="39"/>
        <v>-0.00768854565926991</v>
      </c>
    </row>
    <row r="2401" ht="14.25" customHeight="1" spans="2:4">
      <c r="B2401" s="136">
        <v>42779</v>
      </c>
      <c r="C2401" s="128">
        <v>8805.05</v>
      </c>
      <c r="D2401" s="129">
        <f t="shared" si="39"/>
        <v>-0.00144803266307403</v>
      </c>
    </row>
    <row r="2402" ht="14.25" customHeight="1" spans="2:4">
      <c r="B2402" s="136">
        <v>42776</v>
      </c>
      <c r="C2402" s="128">
        <v>8793.55</v>
      </c>
      <c r="D2402" s="129">
        <f t="shared" si="39"/>
        <v>0.00130777672271143</v>
      </c>
    </row>
    <row r="2403" ht="14.25" customHeight="1" spans="2:4">
      <c r="B2403" s="136">
        <v>42775</v>
      </c>
      <c r="C2403" s="128">
        <v>8778.4</v>
      </c>
      <c r="D2403" s="129">
        <f t="shared" si="39"/>
        <v>0.0017258270299827</v>
      </c>
    </row>
    <row r="2404" ht="14.25" customHeight="1" spans="2:4">
      <c r="B2404" s="136">
        <v>42774</v>
      </c>
      <c r="C2404" s="128">
        <v>8769.05</v>
      </c>
      <c r="D2404" s="129">
        <f t="shared" si="39"/>
        <v>0.00106625004989147</v>
      </c>
    </row>
    <row r="2405" ht="14.25" customHeight="1" spans="2:4">
      <c r="B2405" s="136">
        <v>42773</v>
      </c>
      <c r="C2405" s="128">
        <v>8768.3</v>
      </c>
      <c r="D2405" s="129">
        <f t="shared" si="39"/>
        <v>8.55353945463655e-5</v>
      </c>
    </row>
    <row r="2406" ht="14.25" customHeight="1" spans="2:4">
      <c r="B2406" s="136">
        <v>42772</v>
      </c>
      <c r="C2406" s="128">
        <v>8801.05</v>
      </c>
      <c r="D2406" s="129">
        <f t="shared" si="39"/>
        <v>-0.00372114690860748</v>
      </c>
    </row>
    <row r="2407" ht="14.25" customHeight="1" spans="2:4">
      <c r="B2407" s="136">
        <v>42769</v>
      </c>
      <c r="C2407" s="128">
        <v>8740.95</v>
      </c>
      <c r="D2407" s="129">
        <f t="shared" si="39"/>
        <v>0.0068756828491181</v>
      </c>
    </row>
    <row r="2408" ht="14.25" customHeight="1" spans="2:4">
      <c r="B2408" s="136">
        <v>42768</v>
      </c>
      <c r="C2408" s="128">
        <v>8734.25</v>
      </c>
      <c r="D2408" s="129">
        <f t="shared" si="39"/>
        <v>0.000767095056816602</v>
      </c>
    </row>
    <row r="2409" ht="14.25" customHeight="1" spans="2:4">
      <c r="B2409" s="136">
        <v>42767</v>
      </c>
      <c r="C2409" s="128">
        <v>8716.4</v>
      </c>
      <c r="D2409" s="129">
        <f t="shared" si="39"/>
        <v>0.00204786379698052</v>
      </c>
    </row>
    <row r="2410" ht="14.25" customHeight="1" spans="2:4">
      <c r="B2410" s="136">
        <v>42766</v>
      </c>
      <c r="C2410" s="128">
        <v>8561.3</v>
      </c>
      <c r="D2410" s="129">
        <f t="shared" si="39"/>
        <v>0.0181164075549274</v>
      </c>
    </row>
    <row r="2411" ht="14.25" customHeight="1" spans="2:4">
      <c r="B2411" s="136">
        <v>42765</v>
      </c>
      <c r="C2411" s="128">
        <v>8632.75</v>
      </c>
      <c r="D2411" s="129">
        <f t="shared" si="39"/>
        <v>-0.00827662100721105</v>
      </c>
    </row>
    <row r="2412" ht="14.25" customHeight="1" spans="2:4">
      <c r="B2412" s="136">
        <v>42762</v>
      </c>
      <c r="C2412" s="128">
        <v>8641.25</v>
      </c>
      <c r="D2412" s="129">
        <f t="shared" si="39"/>
        <v>-0.000983653985245136</v>
      </c>
    </row>
    <row r="2413" ht="14.25" customHeight="1" spans="2:4">
      <c r="B2413" s="136">
        <v>42760</v>
      </c>
      <c r="C2413" s="128">
        <v>8602.75</v>
      </c>
      <c r="D2413" s="129">
        <f t="shared" si="39"/>
        <v>0.00447531312661642</v>
      </c>
    </row>
    <row r="2414" ht="14.25" customHeight="1" spans="2:4">
      <c r="B2414" s="136">
        <v>42759</v>
      </c>
      <c r="C2414" s="128">
        <v>8475.8</v>
      </c>
      <c r="D2414" s="129">
        <f t="shared" si="39"/>
        <v>0.0149779371858705</v>
      </c>
    </row>
    <row r="2415" ht="14.25" customHeight="1" spans="2:4">
      <c r="B2415" s="136">
        <v>42758</v>
      </c>
      <c r="C2415" s="128">
        <v>8391.5</v>
      </c>
      <c r="D2415" s="129">
        <f t="shared" si="39"/>
        <v>0.0100458797592802</v>
      </c>
    </row>
    <row r="2416" ht="14.25" customHeight="1" spans="2:4">
      <c r="B2416" s="136">
        <v>42755</v>
      </c>
      <c r="C2416" s="128">
        <v>8349.35</v>
      </c>
      <c r="D2416" s="129">
        <f t="shared" si="39"/>
        <v>0.00504829717283384</v>
      </c>
    </row>
    <row r="2417" ht="14.25" customHeight="1" spans="2:4">
      <c r="B2417" s="136">
        <v>42754</v>
      </c>
      <c r="C2417" s="128">
        <v>8435.1</v>
      </c>
      <c r="D2417" s="129">
        <f t="shared" si="39"/>
        <v>-0.0101658545838224</v>
      </c>
    </row>
    <row r="2418" ht="14.25" customHeight="1" spans="2:4">
      <c r="B2418" s="136">
        <v>42753</v>
      </c>
      <c r="C2418" s="128">
        <v>8417</v>
      </c>
      <c r="D2418" s="129">
        <f t="shared" si="39"/>
        <v>0.00215040988475712</v>
      </c>
    </row>
    <row r="2419" ht="14.25" customHeight="1" spans="2:4">
      <c r="B2419" s="136">
        <v>42752</v>
      </c>
      <c r="C2419" s="128">
        <v>8398</v>
      </c>
      <c r="D2419" s="129">
        <f t="shared" si="39"/>
        <v>0.00226244343891402</v>
      </c>
    </row>
    <row r="2420" ht="14.25" customHeight="1" spans="2:4">
      <c r="B2420" s="136">
        <v>42751</v>
      </c>
      <c r="C2420" s="128">
        <v>8412.8</v>
      </c>
      <c r="D2420" s="129">
        <f t="shared" si="39"/>
        <v>-0.00175922403955864</v>
      </c>
    </row>
    <row r="2421" ht="14.25" customHeight="1" spans="2:4">
      <c r="B2421" s="136">
        <v>42748</v>
      </c>
      <c r="C2421" s="128">
        <v>8400.35</v>
      </c>
      <c r="D2421" s="129">
        <f t="shared" si="39"/>
        <v>0.00148208110376347</v>
      </c>
    </row>
    <row r="2422" ht="14.25" customHeight="1" spans="2:4">
      <c r="B2422" s="136">
        <v>42747</v>
      </c>
      <c r="C2422" s="128">
        <v>8407.2</v>
      </c>
      <c r="D2422" s="129">
        <f t="shared" si="39"/>
        <v>-0.000814777809496681</v>
      </c>
    </row>
    <row r="2423" ht="14.25" customHeight="1" spans="2:4">
      <c r="B2423" s="136">
        <v>42746</v>
      </c>
      <c r="C2423" s="128">
        <v>8380.65</v>
      </c>
      <c r="D2423" s="129">
        <f t="shared" si="39"/>
        <v>0.00316801202770689</v>
      </c>
    </row>
    <row r="2424" ht="14.25" customHeight="1" spans="2:4">
      <c r="B2424" s="136">
        <v>42745</v>
      </c>
      <c r="C2424" s="128">
        <v>8288.6</v>
      </c>
      <c r="D2424" s="129">
        <f t="shared" si="39"/>
        <v>0.0111056149410032</v>
      </c>
    </row>
    <row r="2425" ht="14.25" customHeight="1" spans="2:4">
      <c r="B2425" s="136">
        <v>42744</v>
      </c>
      <c r="C2425" s="128">
        <v>8236.05</v>
      </c>
      <c r="D2425" s="129">
        <f t="shared" si="39"/>
        <v>0.00638048579112582</v>
      </c>
    </row>
    <row r="2426" ht="14.25" customHeight="1" spans="2:4">
      <c r="B2426" s="136">
        <v>42741</v>
      </c>
      <c r="C2426" s="128">
        <v>8243.8</v>
      </c>
      <c r="D2426" s="129">
        <f t="shared" si="39"/>
        <v>-0.000940100439117852</v>
      </c>
    </row>
    <row r="2427" ht="14.25" customHeight="1" spans="2:4">
      <c r="B2427" s="136">
        <v>42740</v>
      </c>
      <c r="C2427" s="128">
        <v>8273.8</v>
      </c>
      <c r="D2427" s="129">
        <f t="shared" si="39"/>
        <v>-0.00362590345427738</v>
      </c>
    </row>
    <row r="2428" ht="14.25" customHeight="1" spans="2:4">
      <c r="B2428" s="136">
        <v>42739</v>
      </c>
      <c r="C2428" s="128">
        <v>8190.5</v>
      </c>
      <c r="D2428" s="129">
        <f t="shared" si="39"/>
        <v>0.0101703192723277</v>
      </c>
    </row>
    <row r="2429" ht="14.25" customHeight="1" spans="2:4">
      <c r="B2429" s="136">
        <v>42738</v>
      </c>
      <c r="C2429" s="128">
        <v>8192.25</v>
      </c>
      <c r="D2429" s="129">
        <f t="shared" si="39"/>
        <v>-0.00021361652781593</v>
      </c>
    </row>
    <row r="2430" ht="14.25" customHeight="1" spans="2:4">
      <c r="B2430" s="136">
        <v>42737</v>
      </c>
      <c r="C2430" s="128">
        <v>8179.5</v>
      </c>
      <c r="D2430" s="129">
        <f t="shared" si="39"/>
        <v>0.00155877498624601</v>
      </c>
    </row>
    <row r="2431" ht="14.25" customHeight="1" spans="2:4">
      <c r="B2431" s="136">
        <v>42734</v>
      </c>
      <c r="C2431" s="128">
        <v>8185.8</v>
      </c>
      <c r="D2431" s="129">
        <f t="shared" si="39"/>
        <v>-0.000769625448948208</v>
      </c>
    </row>
    <row r="2432" ht="14.25" customHeight="1" spans="2:4">
      <c r="B2432" s="136">
        <v>42733</v>
      </c>
      <c r="C2432" s="128">
        <v>8103.6</v>
      </c>
      <c r="D2432" s="129">
        <f t="shared" si="39"/>
        <v>0.0101436398637642</v>
      </c>
    </row>
    <row r="2433" ht="14.25" customHeight="1" spans="2:4">
      <c r="B2433" s="136">
        <v>42732</v>
      </c>
      <c r="C2433" s="128">
        <v>8034.85</v>
      </c>
      <c r="D2433" s="129">
        <f t="shared" si="39"/>
        <v>0.00855647585206931</v>
      </c>
    </row>
    <row r="2434" ht="14.25" customHeight="1" spans="2:4">
      <c r="B2434" s="136">
        <v>42731</v>
      </c>
      <c r="C2434" s="128">
        <v>8032.85</v>
      </c>
      <c r="D2434" s="129">
        <f t="shared" ref="D2434:D2497" si="40">C2433/C2434-1</f>
        <v>0.000248977635583847</v>
      </c>
    </row>
    <row r="2435" ht="14.25" customHeight="1" spans="2:4">
      <c r="B2435" s="136">
        <v>42730</v>
      </c>
      <c r="C2435" s="128">
        <v>7908.25</v>
      </c>
      <c r="D2435" s="129">
        <f t="shared" si="40"/>
        <v>0.0157556981633105</v>
      </c>
    </row>
    <row r="2436" ht="14.25" customHeight="1" spans="2:4">
      <c r="B2436" s="136">
        <v>42727</v>
      </c>
      <c r="C2436" s="128">
        <v>7985.75</v>
      </c>
      <c r="D2436" s="129">
        <f t="shared" si="40"/>
        <v>-0.00970478665122254</v>
      </c>
    </row>
    <row r="2437" ht="14.25" customHeight="1" spans="2:4">
      <c r="B2437" s="136">
        <v>42726</v>
      </c>
      <c r="C2437" s="128">
        <v>7979.1</v>
      </c>
      <c r="D2437" s="129">
        <f t="shared" si="40"/>
        <v>0.000833427328896796</v>
      </c>
    </row>
    <row r="2438" ht="14.25" customHeight="1" spans="2:4">
      <c r="B2438" s="136">
        <v>42725</v>
      </c>
      <c r="C2438" s="128">
        <v>8061.3</v>
      </c>
      <c r="D2438" s="129">
        <f t="shared" si="40"/>
        <v>-0.0101968665103643</v>
      </c>
    </row>
    <row r="2439" ht="14.25" customHeight="1" spans="2:4">
      <c r="B2439" s="136">
        <v>42724</v>
      </c>
      <c r="C2439" s="128">
        <v>8082.4</v>
      </c>
      <c r="D2439" s="129">
        <f t="shared" si="40"/>
        <v>-0.00261061070969015</v>
      </c>
    </row>
    <row r="2440" ht="14.25" customHeight="1" spans="2:4">
      <c r="B2440" s="136">
        <v>42723</v>
      </c>
      <c r="C2440" s="128">
        <v>8104.35</v>
      </c>
      <c r="D2440" s="129">
        <f t="shared" si="40"/>
        <v>-0.0027084220202731</v>
      </c>
    </row>
    <row r="2441" ht="14.25" customHeight="1" spans="2:4">
      <c r="B2441" s="136">
        <v>42720</v>
      </c>
      <c r="C2441" s="128">
        <v>8139.45</v>
      </c>
      <c r="D2441" s="129">
        <f t="shared" si="40"/>
        <v>-0.00431233068573422</v>
      </c>
    </row>
    <row r="2442" ht="14.25" customHeight="1" spans="2:4">
      <c r="B2442" s="136">
        <v>42719</v>
      </c>
      <c r="C2442" s="128">
        <v>8153.6</v>
      </c>
      <c r="D2442" s="129">
        <f t="shared" si="40"/>
        <v>-0.00173542974882268</v>
      </c>
    </row>
    <row r="2443" ht="14.25" customHeight="1" spans="2:4">
      <c r="B2443" s="136">
        <v>42718</v>
      </c>
      <c r="C2443" s="128">
        <v>8182.45</v>
      </c>
      <c r="D2443" s="129">
        <f t="shared" si="40"/>
        <v>-0.00352583883800073</v>
      </c>
    </row>
    <row r="2444" ht="14.25" customHeight="1" spans="2:4">
      <c r="B2444" s="136">
        <v>42717</v>
      </c>
      <c r="C2444" s="128">
        <v>8221.8</v>
      </c>
      <c r="D2444" s="129">
        <f t="shared" si="40"/>
        <v>-0.00478605658128384</v>
      </c>
    </row>
    <row r="2445" ht="14.25" customHeight="1" spans="2:4">
      <c r="B2445" s="136">
        <v>42716</v>
      </c>
      <c r="C2445" s="128">
        <v>8170.8</v>
      </c>
      <c r="D2445" s="129">
        <f t="shared" si="40"/>
        <v>0.00624173887501822</v>
      </c>
    </row>
    <row r="2446" ht="14.25" customHeight="1" spans="2:4">
      <c r="B2446" s="136">
        <v>42713</v>
      </c>
      <c r="C2446" s="128">
        <v>8261.75</v>
      </c>
      <c r="D2446" s="129">
        <f t="shared" si="40"/>
        <v>-0.0110085635609889</v>
      </c>
    </row>
    <row r="2447" ht="14.25" customHeight="1" spans="2:4">
      <c r="B2447" s="136">
        <v>42712</v>
      </c>
      <c r="C2447" s="128">
        <v>8246.85</v>
      </c>
      <c r="D2447" s="129">
        <f t="shared" si="40"/>
        <v>0.00180675045623468</v>
      </c>
    </row>
    <row r="2448" ht="14.25" customHeight="1" spans="2:4">
      <c r="B2448" s="136">
        <v>42711</v>
      </c>
      <c r="C2448" s="128">
        <v>8102.05</v>
      </c>
      <c r="D2448" s="129">
        <f t="shared" si="40"/>
        <v>0.0178720200443099</v>
      </c>
    </row>
    <row r="2449" ht="14.25" customHeight="1" spans="2:4">
      <c r="B2449" s="136">
        <v>42710</v>
      </c>
      <c r="C2449" s="128">
        <v>8143.15</v>
      </c>
      <c r="D2449" s="129">
        <f t="shared" si="40"/>
        <v>-0.00504718689941841</v>
      </c>
    </row>
    <row r="2450" ht="14.25" customHeight="1" spans="2:4">
      <c r="B2450" s="136">
        <v>42709</v>
      </c>
      <c r="C2450" s="128">
        <v>8128.75</v>
      </c>
      <c r="D2450" s="129">
        <f t="shared" si="40"/>
        <v>0.0017714900815009</v>
      </c>
    </row>
    <row r="2451" ht="14.25" customHeight="1" spans="2:4">
      <c r="B2451" s="136">
        <v>42706</v>
      </c>
      <c r="C2451" s="128">
        <v>8086.8</v>
      </c>
      <c r="D2451" s="129">
        <f t="shared" si="40"/>
        <v>0.00518746599396547</v>
      </c>
    </row>
    <row r="2452" ht="14.25" customHeight="1" spans="2:4">
      <c r="B2452" s="136">
        <v>42705</v>
      </c>
      <c r="C2452" s="128">
        <v>8192.9</v>
      </c>
      <c r="D2452" s="129">
        <f t="shared" si="40"/>
        <v>-0.0129502374006761</v>
      </c>
    </row>
    <row r="2453" ht="14.25" customHeight="1" spans="2:4">
      <c r="B2453" s="136">
        <v>42704</v>
      </c>
      <c r="C2453" s="128">
        <v>8224.5</v>
      </c>
      <c r="D2453" s="129">
        <f t="shared" si="40"/>
        <v>-0.00384217885585758</v>
      </c>
    </row>
    <row r="2454" ht="14.25" customHeight="1" spans="2:4">
      <c r="B2454" s="136">
        <v>42703</v>
      </c>
      <c r="C2454" s="128">
        <v>8142.15</v>
      </c>
      <c r="D2454" s="129">
        <f t="shared" si="40"/>
        <v>0.0101140362189349</v>
      </c>
    </row>
    <row r="2455" ht="14.25" customHeight="1" spans="2:4">
      <c r="B2455" s="136">
        <v>42702</v>
      </c>
      <c r="C2455" s="128">
        <v>8126.9</v>
      </c>
      <c r="D2455" s="129">
        <f t="shared" si="40"/>
        <v>0.00187648426829412</v>
      </c>
    </row>
    <row r="2456" ht="14.25" customHeight="1" spans="2:4">
      <c r="B2456" s="136">
        <v>42699</v>
      </c>
      <c r="C2456" s="128">
        <v>8114.3</v>
      </c>
      <c r="D2456" s="129">
        <f t="shared" si="40"/>
        <v>0.00155281416758069</v>
      </c>
    </row>
    <row r="2457" ht="14.25" customHeight="1" spans="2:4">
      <c r="B2457" s="136">
        <v>42698</v>
      </c>
      <c r="C2457" s="128">
        <v>7965.5</v>
      </c>
      <c r="D2457" s="129">
        <f t="shared" si="40"/>
        <v>0.0186805599146318</v>
      </c>
    </row>
    <row r="2458" ht="14.25" customHeight="1" spans="2:4">
      <c r="B2458" s="136">
        <v>42697</v>
      </c>
      <c r="C2458" s="128">
        <v>8033.3</v>
      </c>
      <c r="D2458" s="129">
        <f t="shared" si="40"/>
        <v>-0.00843986904509975</v>
      </c>
    </row>
    <row r="2459" ht="14.25" customHeight="1" spans="2:4">
      <c r="B2459" s="136">
        <v>42696</v>
      </c>
      <c r="C2459" s="128">
        <v>8002.3</v>
      </c>
      <c r="D2459" s="129">
        <f t="shared" si="40"/>
        <v>0.00387388625770102</v>
      </c>
    </row>
    <row r="2460" ht="14.25" customHeight="1" spans="2:4">
      <c r="B2460" s="136">
        <v>42695</v>
      </c>
      <c r="C2460" s="128">
        <v>7929.1</v>
      </c>
      <c r="D2460" s="129">
        <f t="shared" si="40"/>
        <v>0.00923181697796727</v>
      </c>
    </row>
    <row r="2461" ht="14.25" customHeight="1" spans="2:4">
      <c r="B2461" s="136">
        <v>42692</v>
      </c>
      <c r="C2461" s="128">
        <v>8074.1</v>
      </c>
      <c r="D2461" s="129">
        <f t="shared" si="40"/>
        <v>-0.0179586579309149</v>
      </c>
    </row>
    <row r="2462" ht="14.25" customHeight="1" spans="2:4">
      <c r="B2462" s="136">
        <v>42691</v>
      </c>
      <c r="C2462" s="128">
        <v>8079.95</v>
      </c>
      <c r="D2462" s="129">
        <f t="shared" si="40"/>
        <v>-0.000724014381277005</v>
      </c>
    </row>
    <row r="2463" ht="14.25" customHeight="1" spans="2:4">
      <c r="B2463" s="136">
        <v>42690</v>
      </c>
      <c r="C2463" s="128">
        <v>8111.6</v>
      </c>
      <c r="D2463" s="129">
        <f t="shared" si="40"/>
        <v>-0.00390181961635194</v>
      </c>
    </row>
    <row r="2464" ht="14.25" customHeight="1" spans="2:4">
      <c r="B2464" s="136">
        <v>42689</v>
      </c>
      <c r="C2464" s="128">
        <v>8108.45</v>
      </c>
      <c r="D2464" s="129">
        <f t="shared" si="40"/>
        <v>0.000388483618940727</v>
      </c>
    </row>
    <row r="2465" ht="14.25" customHeight="1" spans="2:4">
      <c r="B2465" s="136">
        <v>42685</v>
      </c>
      <c r="C2465" s="128">
        <v>8296.3</v>
      </c>
      <c r="D2465" s="129">
        <f t="shared" si="40"/>
        <v>-0.0226426238202572</v>
      </c>
    </row>
    <row r="2466" ht="14.25" customHeight="1" spans="2:4">
      <c r="B2466" s="136">
        <v>42684</v>
      </c>
      <c r="C2466" s="128">
        <v>8525.75</v>
      </c>
      <c r="D2466" s="129">
        <f t="shared" si="40"/>
        <v>-0.0269125883353372</v>
      </c>
    </row>
    <row r="2467" ht="14.25" customHeight="1" spans="2:4">
      <c r="B2467" s="136">
        <v>42683</v>
      </c>
      <c r="C2467" s="128">
        <v>8432</v>
      </c>
      <c r="D2467" s="129">
        <f t="shared" si="40"/>
        <v>0.0111183586337762</v>
      </c>
    </row>
    <row r="2468" ht="14.25" customHeight="1" spans="2:4">
      <c r="B2468" s="136">
        <v>42682</v>
      </c>
      <c r="C2468" s="128">
        <v>8543.55</v>
      </c>
      <c r="D2468" s="129">
        <f t="shared" si="40"/>
        <v>-0.0130566333666917</v>
      </c>
    </row>
    <row r="2469" ht="14.25" customHeight="1" spans="2:4">
      <c r="B2469" s="136">
        <v>42681</v>
      </c>
      <c r="C2469" s="128">
        <v>8497.05</v>
      </c>
      <c r="D2469" s="129">
        <f t="shared" si="40"/>
        <v>0.00547248751037133</v>
      </c>
    </row>
    <row r="2470" ht="14.25" customHeight="1" spans="2:4">
      <c r="B2470" s="136">
        <v>42678</v>
      </c>
      <c r="C2470" s="128">
        <v>8433.75</v>
      </c>
      <c r="D2470" s="129">
        <f t="shared" si="40"/>
        <v>0.00750555802578923</v>
      </c>
    </row>
    <row r="2471" ht="14.25" customHeight="1" spans="2:4">
      <c r="B2471" s="136">
        <v>42677</v>
      </c>
      <c r="C2471" s="128">
        <v>8484.95</v>
      </c>
      <c r="D2471" s="129">
        <f t="shared" si="40"/>
        <v>-0.00603421351923117</v>
      </c>
    </row>
    <row r="2472" ht="14.25" customHeight="1" spans="2:4">
      <c r="B2472" s="136">
        <v>42676</v>
      </c>
      <c r="C2472" s="128">
        <v>8514</v>
      </c>
      <c r="D2472" s="129">
        <f t="shared" si="40"/>
        <v>-0.0034120272492365</v>
      </c>
    </row>
    <row r="2473" ht="14.25" customHeight="1" spans="2:4">
      <c r="B2473" s="136">
        <v>42675</v>
      </c>
      <c r="C2473" s="128">
        <v>8626.25</v>
      </c>
      <c r="D2473" s="129">
        <f t="shared" si="40"/>
        <v>-0.0130126068685698</v>
      </c>
    </row>
    <row r="2474" ht="14.25" customHeight="1" spans="2:4">
      <c r="B2474" s="136">
        <v>42673</v>
      </c>
      <c r="C2474" s="128">
        <v>8625.7</v>
      </c>
      <c r="D2474" s="129">
        <f t="shared" si="40"/>
        <v>6.37629409785401e-5</v>
      </c>
    </row>
    <row r="2475" ht="14.25" customHeight="1" spans="2:4">
      <c r="B2475" s="136">
        <v>42671</v>
      </c>
      <c r="C2475" s="128">
        <v>8638</v>
      </c>
      <c r="D2475" s="129">
        <f t="shared" si="40"/>
        <v>-0.00142394072702001</v>
      </c>
    </row>
    <row r="2476" ht="14.25" customHeight="1" spans="2:4">
      <c r="B2476" s="136">
        <v>42670</v>
      </c>
      <c r="C2476" s="128">
        <v>8615.25</v>
      </c>
      <c r="D2476" s="129">
        <f t="shared" si="40"/>
        <v>0.00264066626041037</v>
      </c>
    </row>
    <row r="2477" ht="14.25" customHeight="1" spans="2:4">
      <c r="B2477" s="136">
        <v>42669</v>
      </c>
      <c r="C2477" s="128">
        <v>8615.25</v>
      </c>
      <c r="D2477" s="129">
        <f t="shared" si="40"/>
        <v>0</v>
      </c>
    </row>
    <row r="2478" ht="14.25" customHeight="1" spans="2:4">
      <c r="B2478" s="136">
        <v>42668</v>
      </c>
      <c r="C2478" s="128">
        <v>8691.3</v>
      </c>
      <c r="D2478" s="129">
        <f t="shared" si="40"/>
        <v>-0.00875012943978448</v>
      </c>
    </row>
    <row r="2479" ht="14.25" customHeight="1" spans="2:4">
      <c r="B2479" s="136">
        <v>42667</v>
      </c>
      <c r="C2479" s="128">
        <v>8708.95</v>
      </c>
      <c r="D2479" s="129">
        <f t="shared" si="40"/>
        <v>-0.00202665074434938</v>
      </c>
    </row>
    <row r="2480" ht="14.25" customHeight="1" spans="2:4">
      <c r="B2480" s="136">
        <v>42664</v>
      </c>
      <c r="C2480" s="128">
        <v>8693.05</v>
      </c>
      <c r="D2480" s="129">
        <f t="shared" si="40"/>
        <v>0.0018290473424174</v>
      </c>
    </row>
    <row r="2481" ht="14.25" customHeight="1" spans="2:4">
      <c r="B2481" s="136">
        <v>42663</v>
      </c>
      <c r="C2481" s="128">
        <v>8699.4</v>
      </c>
      <c r="D2481" s="129">
        <f t="shared" si="40"/>
        <v>-0.000729935397843606</v>
      </c>
    </row>
    <row r="2482" ht="14.25" customHeight="1" spans="2:4">
      <c r="B2482" s="136">
        <v>42662</v>
      </c>
      <c r="C2482" s="128">
        <v>8659.1</v>
      </c>
      <c r="D2482" s="129">
        <f t="shared" si="40"/>
        <v>0.00465406335531404</v>
      </c>
    </row>
    <row r="2483" ht="14.25" customHeight="1" spans="2:4">
      <c r="B2483" s="136">
        <v>42661</v>
      </c>
      <c r="C2483" s="128">
        <v>8677.9</v>
      </c>
      <c r="D2483" s="129">
        <f t="shared" si="40"/>
        <v>-0.00216642275204826</v>
      </c>
    </row>
    <row r="2484" ht="14.25" customHeight="1" spans="2:4">
      <c r="B2484" s="136">
        <v>42660</v>
      </c>
      <c r="C2484" s="128">
        <v>8520.4</v>
      </c>
      <c r="D2484" s="129">
        <f t="shared" si="40"/>
        <v>0.0184850476503451</v>
      </c>
    </row>
    <row r="2485" ht="14.25" customHeight="1" spans="2:4">
      <c r="B2485" s="136">
        <v>42657</v>
      </c>
      <c r="C2485" s="128">
        <v>8583.4</v>
      </c>
      <c r="D2485" s="129">
        <f t="shared" si="40"/>
        <v>-0.00733974881748489</v>
      </c>
    </row>
    <row r="2486" ht="14.25" customHeight="1" spans="2:4">
      <c r="B2486" s="136">
        <v>42656</v>
      </c>
      <c r="C2486" s="128">
        <v>8573.35</v>
      </c>
      <c r="D2486" s="129">
        <f t="shared" si="40"/>
        <v>0.00117223722348903</v>
      </c>
    </row>
    <row r="2487" ht="14.25" customHeight="1" spans="2:4">
      <c r="B2487" s="136">
        <v>42653</v>
      </c>
      <c r="C2487" s="128">
        <v>8708.8</v>
      </c>
      <c r="D2487" s="129">
        <f t="shared" si="40"/>
        <v>-0.0155532335109313</v>
      </c>
    </row>
    <row r="2488" ht="14.25" customHeight="1" spans="2:4">
      <c r="B2488" s="136">
        <v>42650</v>
      </c>
      <c r="C2488" s="128">
        <v>8697.6</v>
      </c>
      <c r="D2488" s="129">
        <f t="shared" si="40"/>
        <v>0.00128771155261198</v>
      </c>
    </row>
    <row r="2489" ht="14.25" customHeight="1" spans="2:4">
      <c r="B2489" s="136">
        <v>42649</v>
      </c>
      <c r="C2489" s="128">
        <v>8709.55</v>
      </c>
      <c r="D2489" s="129">
        <f t="shared" si="40"/>
        <v>-0.00137205710972421</v>
      </c>
    </row>
    <row r="2490" ht="14.25" customHeight="1" spans="2:4">
      <c r="B2490" s="136">
        <v>42648</v>
      </c>
      <c r="C2490" s="128">
        <v>8743.95</v>
      </c>
      <c r="D2490" s="129">
        <f t="shared" si="40"/>
        <v>-0.00393414875428166</v>
      </c>
    </row>
    <row r="2491" ht="14.25" customHeight="1" spans="2:4">
      <c r="B2491" s="136">
        <v>42647</v>
      </c>
      <c r="C2491" s="128">
        <v>8769.15</v>
      </c>
      <c r="D2491" s="129">
        <f t="shared" si="40"/>
        <v>-0.00287371067891407</v>
      </c>
    </row>
    <row r="2492" ht="14.25" customHeight="1" spans="2:4">
      <c r="B2492" s="136">
        <v>42646</v>
      </c>
      <c r="C2492" s="128">
        <v>8738.1</v>
      </c>
      <c r="D2492" s="129">
        <f t="shared" si="40"/>
        <v>0.00355340405809046</v>
      </c>
    </row>
    <row r="2493" ht="14.25" customHeight="1" spans="2:4">
      <c r="B2493" s="136">
        <v>42643</v>
      </c>
      <c r="C2493" s="128">
        <v>8611.15</v>
      </c>
      <c r="D2493" s="129">
        <f t="shared" si="40"/>
        <v>0.0147425140660655</v>
      </c>
    </row>
    <row r="2494" ht="14.25" customHeight="1" spans="2:4">
      <c r="B2494" s="136">
        <v>42642</v>
      </c>
      <c r="C2494" s="128">
        <v>8591.25</v>
      </c>
      <c r="D2494" s="129">
        <f t="shared" si="40"/>
        <v>0.00231631019933065</v>
      </c>
    </row>
    <row r="2495" ht="14.25" customHeight="1" spans="2:4">
      <c r="B2495" s="136">
        <v>42641</v>
      </c>
      <c r="C2495" s="128">
        <v>8745.15</v>
      </c>
      <c r="D2495" s="129">
        <f t="shared" si="40"/>
        <v>-0.0175983259292293</v>
      </c>
    </row>
    <row r="2496" ht="14.25" customHeight="1" spans="2:4">
      <c r="B2496" s="136">
        <v>42640</v>
      </c>
      <c r="C2496" s="128">
        <v>8706.4</v>
      </c>
      <c r="D2496" s="129">
        <f t="shared" si="40"/>
        <v>0.00445074887439123</v>
      </c>
    </row>
    <row r="2497" ht="14.25" customHeight="1" spans="2:4">
      <c r="B2497" s="136">
        <v>42639</v>
      </c>
      <c r="C2497" s="128">
        <v>8723.05</v>
      </c>
      <c r="D2497" s="129">
        <f t="shared" si="40"/>
        <v>-0.00190873604989072</v>
      </c>
    </row>
    <row r="2498" ht="14.25" customHeight="1" spans="2:4">
      <c r="B2498" s="136">
        <v>42636</v>
      </c>
      <c r="C2498" s="128">
        <v>8831.55</v>
      </c>
      <c r="D2498" s="129">
        <f t="shared" ref="D2498:D2561" si="41">C2497/C2498-1</f>
        <v>-0.0122854991479412</v>
      </c>
    </row>
    <row r="2499" ht="14.25" customHeight="1" spans="2:4">
      <c r="B2499" s="136">
        <v>42635</v>
      </c>
      <c r="C2499" s="128">
        <v>8867.45</v>
      </c>
      <c r="D2499" s="129">
        <f t="shared" si="41"/>
        <v>-0.00404851451093624</v>
      </c>
    </row>
    <row r="2500" ht="14.25" customHeight="1" spans="2:4">
      <c r="B2500" s="136">
        <v>42634</v>
      </c>
      <c r="C2500" s="128">
        <v>8777.15</v>
      </c>
      <c r="D2500" s="129">
        <f t="shared" si="41"/>
        <v>0.0102880775650411</v>
      </c>
    </row>
    <row r="2501" ht="14.25" customHeight="1" spans="2:4">
      <c r="B2501" s="136">
        <v>42633</v>
      </c>
      <c r="C2501" s="128">
        <v>8775.9</v>
      </c>
      <c r="D2501" s="129">
        <f t="shared" si="41"/>
        <v>0.000142435533677432</v>
      </c>
    </row>
    <row r="2502" ht="14.25" customHeight="1" spans="2:4">
      <c r="B2502" s="136">
        <v>42632</v>
      </c>
      <c r="C2502" s="128">
        <v>8808.4</v>
      </c>
      <c r="D2502" s="129">
        <f t="shared" si="41"/>
        <v>-0.00368965987012393</v>
      </c>
    </row>
    <row r="2503" ht="14.25" customHeight="1" spans="2:4">
      <c r="B2503" s="136">
        <v>42629</v>
      </c>
      <c r="C2503" s="128">
        <v>8779.85</v>
      </c>
      <c r="D2503" s="129">
        <f t="shared" si="41"/>
        <v>0.0032517639823002</v>
      </c>
    </row>
    <row r="2504" ht="14.25" customHeight="1" spans="2:4">
      <c r="B2504" s="136">
        <v>42628</v>
      </c>
      <c r="C2504" s="128">
        <v>8742.55</v>
      </c>
      <c r="D2504" s="129">
        <f t="shared" si="41"/>
        <v>0.00426648975413357</v>
      </c>
    </row>
    <row r="2505" ht="14.25" customHeight="1" spans="2:4">
      <c r="B2505" s="136">
        <v>42627</v>
      </c>
      <c r="C2505" s="128">
        <v>8726.6</v>
      </c>
      <c r="D2505" s="129">
        <f t="shared" si="41"/>
        <v>0.00182774505534788</v>
      </c>
    </row>
    <row r="2506" ht="14.25" customHeight="1" spans="2:4">
      <c r="B2506" s="136">
        <v>42625</v>
      </c>
      <c r="C2506" s="128">
        <v>8715.6</v>
      </c>
      <c r="D2506" s="129">
        <f t="shared" si="41"/>
        <v>0.00126210473174537</v>
      </c>
    </row>
    <row r="2507" ht="14.25" customHeight="1" spans="2:4">
      <c r="B2507" s="136">
        <v>42622</v>
      </c>
      <c r="C2507" s="128">
        <v>8866.7</v>
      </c>
      <c r="D2507" s="129">
        <f t="shared" si="41"/>
        <v>-0.0170412893184613</v>
      </c>
    </row>
    <row r="2508" ht="14.25" customHeight="1" spans="2:4">
      <c r="B2508" s="136">
        <v>42621</v>
      </c>
      <c r="C2508" s="128">
        <v>8952.5</v>
      </c>
      <c r="D2508" s="129">
        <f t="shared" si="41"/>
        <v>-0.00958391510751178</v>
      </c>
    </row>
    <row r="2509" ht="14.25" customHeight="1" spans="2:4">
      <c r="B2509" s="136">
        <v>42620</v>
      </c>
      <c r="C2509" s="128">
        <v>8917.95</v>
      </c>
      <c r="D2509" s="129">
        <f t="shared" si="41"/>
        <v>0.00387420875873934</v>
      </c>
    </row>
    <row r="2510" ht="14.25" customHeight="1" spans="2:4">
      <c r="B2510" s="136">
        <v>42619</v>
      </c>
      <c r="C2510" s="128">
        <v>8943</v>
      </c>
      <c r="D2510" s="129">
        <f t="shared" si="41"/>
        <v>-0.00280107346528002</v>
      </c>
    </row>
    <row r="2511" ht="14.25" customHeight="1" spans="2:4">
      <c r="B2511" s="136">
        <v>42615</v>
      </c>
      <c r="C2511" s="128">
        <v>8809.65</v>
      </c>
      <c r="D2511" s="129">
        <f t="shared" si="41"/>
        <v>0.0151368102024485</v>
      </c>
    </row>
    <row r="2512" ht="14.25" customHeight="1" spans="2:4">
      <c r="B2512" s="136">
        <v>42614</v>
      </c>
      <c r="C2512" s="128">
        <v>8774.65</v>
      </c>
      <c r="D2512" s="129">
        <f t="shared" si="41"/>
        <v>0.00398876308456741</v>
      </c>
    </row>
    <row r="2513" ht="14.25" customHeight="1" spans="2:4">
      <c r="B2513" s="136">
        <v>42613</v>
      </c>
      <c r="C2513" s="128">
        <v>8786.2</v>
      </c>
      <c r="D2513" s="129">
        <f t="shared" si="41"/>
        <v>-0.00131456147139841</v>
      </c>
    </row>
    <row r="2514" ht="14.25" customHeight="1" spans="2:4">
      <c r="B2514" s="136">
        <v>42612</v>
      </c>
      <c r="C2514" s="128">
        <v>8744.35</v>
      </c>
      <c r="D2514" s="129">
        <f t="shared" si="41"/>
        <v>0.00478594749752692</v>
      </c>
    </row>
    <row r="2515" ht="14.25" customHeight="1" spans="2:4">
      <c r="B2515" s="136">
        <v>42611</v>
      </c>
      <c r="C2515" s="128">
        <v>8607.45</v>
      </c>
      <c r="D2515" s="129">
        <f t="shared" si="41"/>
        <v>0.0159048266327426</v>
      </c>
    </row>
    <row r="2516" ht="14.25" customHeight="1" spans="2:4">
      <c r="B2516" s="136">
        <v>42608</v>
      </c>
      <c r="C2516" s="128">
        <v>8572.55</v>
      </c>
      <c r="D2516" s="129">
        <f t="shared" si="41"/>
        <v>0.00407113402663173</v>
      </c>
    </row>
    <row r="2517" ht="14.25" customHeight="1" spans="2:4">
      <c r="B2517" s="136">
        <v>42607</v>
      </c>
      <c r="C2517" s="128">
        <v>8592.2</v>
      </c>
      <c r="D2517" s="129">
        <f t="shared" si="41"/>
        <v>-0.00228695793859568</v>
      </c>
    </row>
    <row r="2518" ht="14.25" customHeight="1" spans="2:4">
      <c r="B2518" s="136">
        <v>42606</v>
      </c>
      <c r="C2518" s="128">
        <v>8650.3</v>
      </c>
      <c r="D2518" s="129">
        <f t="shared" si="41"/>
        <v>-0.00671653006254103</v>
      </c>
    </row>
    <row r="2519" ht="14.25" customHeight="1" spans="2:4">
      <c r="B2519" s="136">
        <v>42605</v>
      </c>
      <c r="C2519" s="128">
        <v>8632.6</v>
      </c>
      <c r="D2519" s="129">
        <f t="shared" si="41"/>
        <v>0.00205036721265883</v>
      </c>
    </row>
    <row r="2520" ht="14.25" customHeight="1" spans="2:4">
      <c r="B2520" s="136">
        <v>42604</v>
      </c>
      <c r="C2520" s="128">
        <v>8629.15</v>
      </c>
      <c r="D2520" s="129">
        <f t="shared" si="41"/>
        <v>0.000399807628793214</v>
      </c>
    </row>
    <row r="2521" ht="14.25" customHeight="1" spans="2:4">
      <c r="B2521" s="136">
        <v>42601</v>
      </c>
      <c r="C2521" s="128">
        <v>8666.9</v>
      </c>
      <c r="D2521" s="129">
        <f t="shared" si="41"/>
        <v>-0.00435565196321641</v>
      </c>
    </row>
    <row r="2522" ht="14.25" customHeight="1" spans="2:4">
      <c r="B2522" s="136">
        <v>42600</v>
      </c>
      <c r="C2522" s="128">
        <v>8673.25</v>
      </c>
      <c r="D2522" s="129">
        <f t="shared" si="41"/>
        <v>-0.000732136165797148</v>
      </c>
    </row>
    <row r="2523" ht="14.25" customHeight="1" spans="2:4">
      <c r="B2523" s="136">
        <v>42599</v>
      </c>
      <c r="C2523" s="128">
        <v>8624.05</v>
      </c>
      <c r="D2523" s="129">
        <f t="shared" si="41"/>
        <v>0.00570497620027721</v>
      </c>
    </row>
    <row r="2524" ht="14.25" customHeight="1" spans="2:4">
      <c r="B2524" s="136">
        <v>42598</v>
      </c>
      <c r="C2524" s="128">
        <v>8642.55</v>
      </c>
      <c r="D2524" s="129">
        <f t="shared" si="41"/>
        <v>-0.00214057193768047</v>
      </c>
    </row>
    <row r="2525" ht="14.25" customHeight="1" spans="2:4">
      <c r="B2525" s="136">
        <v>42594</v>
      </c>
      <c r="C2525" s="128">
        <v>8672.15</v>
      </c>
      <c r="D2525" s="129">
        <f t="shared" si="41"/>
        <v>-0.00341322509412323</v>
      </c>
    </row>
    <row r="2526" ht="14.25" customHeight="1" spans="2:4">
      <c r="B2526" s="136">
        <v>42593</v>
      </c>
      <c r="C2526" s="128">
        <v>8592.15</v>
      </c>
      <c r="D2526" s="129">
        <f t="shared" si="41"/>
        <v>0.00931082441530928</v>
      </c>
    </row>
    <row r="2527" ht="14.25" customHeight="1" spans="2:4">
      <c r="B2527" s="136">
        <v>42592</v>
      </c>
      <c r="C2527" s="128">
        <v>8575.3</v>
      </c>
      <c r="D2527" s="129">
        <f t="shared" si="41"/>
        <v>0.00196494583279883</v>
      </c>
    </row>
    <row r="2528" ht="14.25" customHeight="1" spans="2:4">
      <c r="B2528" s="136">
        <v>42591</v>
      </c>
      <c r="C2528" s="128">
        <v>8678.25</v>
      </c>
      <c r="D2528" s="129">
        <f t="shared" si="41"/>
        <v>-0.0118629908103594</v>
      </c>
    </row>
    <row r="2529" ht="14.25" customHeight="1" spans="2:4">
      <c r="B2529" s="136">
        <v>42590</v>
      </c>
      <c r="C2529" s="128">
        <v>8711.35</v>
      </c>
      <c r="D2529" s="129">
        <f t="shared" si="41"/>
        <v>-0.00379964069862881</v>
      </c>
    </row>
    <row r="2530" ht="14.25" customHeight="1" spans="2:4">
      <c r="B2530" s="136">
        <v>42587</v>
      </c>
      <c r="C2530" s="128">
        <v>8683.15</v>
      </c>
      <c r="D2530" s="129">
        <f t="shared" si="41"/>
        <v>0.00324766933658882</v>
      </c>
    </row>
    <row r="2531" ht="14.25" customHeight="1" spans="2:4">
      <c r="B2531" s="136">
        <v>42586</v>
      </c>
      <c r="C2531" s="128">
        <v>8551.1</v>
      </c>
      <c r="D2531" s="129">
        <f t="shared" si="41"/>
        <v>0.015442457695501</v>
      </c>
    </row>
    <row r="2532" ht="14.25" customHeight="1" spans="2:4">
      <c r="B2532" s="136">
        <v>42585</v>
      </c>
      <c r="C2532" s="128">
        <v>8544.85</v>
      </c>
      <c r="D2532" s="129">
        <f t="shared" si="41"/>
        <v>0.000731434723839408</v>
      </c>
    </row>
    <row r="2533" ht="14.25" customHeight="1" spans="2:4">
      <c r="B2533" s="136">
        <v>42584</v>
      </c>
      <c r="C2533" s="128">
        <v>8622.9</v>
      </c>
      <c r="D2533" s="129">
        <f t="shared" si="41"/>
        <v>-0.00905147920073279</v>
      </c>
    </row>
    <row r="2534" ht="14.25" customHeight="1" spans="2:4">
      <c r="B2534" s="136">
        <v>42583</v>
      </c>
      <c r="C2534" s="128">
        <v>8636.55</v>
      </c>
      <c r="D2534" s="129">
        <f t="shared" si="41"/>
        <v>-0.00158049221043122</v>
      </c>
    </row>
    <row r="2535" ht="14.25" customHeight="1" spans="2:4">
      <c r="B2535" s="136">
        <v>42580</v>
      </c>
      <c r="C2535" s="128">
        <v>8638.5</v>
      </c>
      <c r="D2535" s="129">
        <f t="shared" si="41"/>
        <v>-0.000225733634311553</v>
      </c>
    </row>
    <row r="2536" ht="14.25" customHeight="1" spans="2:4">
      <c r="B2536" s="136">
        <v>42579</v>
      </c>
      <c r="C2536" s="128">
        <v>8666.3</v>
      </c>
      <c r="D2536" s="129">
        <f t="shared" si="41"/>
        <v>-0.00320782802349318</v>
      </c>
    </row>
    <row r="2537" ht="14.25" customHeight="1" spans="2:4">
      <c r="B2537" s="136">
        <v>42578</v>
      </c>
      <c r="C2537" s="128">
        <v>8615.8</v>
      </c>
      <c r="D2537" s="129">
        <f t="shared" si="41"/>
        <v>0.00586132454328103</v>
      </c>
    </row>
    <row r="2538" ht="14.25" customHeight="1" spans="2:4">
      <c r="B2538" s="136">
        <v>42577</v>
      </c>
      <c r="C2538" s="128">
        <v>8590.65</v>
      </c>
      <c r="D2538" s="129">
        <f t="shared" si="41"/>
        <v>0.00292760152025751</v>
      </c>
    </row>
    <row r="2539" ht="14.25" customHeight="1" spans="2:4">
      <c r="B2539" s="136">
        <v>42576</v>
      </c>
      <c r="C2539" s="128">
        <v>8635.65</v>
      </c>
      <c r="D2539" s="129">
        <f t="shared" si="41"/>
        <v>-0.00521095690538642</v>
      </c>
    </row>
    <row r="2540" ht="14.25" customHeight="1" spans="2:4">
      <c r="B2540" s="136">
        <v>42573</v>
      </c>
      <c r="C2540" s="128">
        <v>8541.2</v>
      </c>
      <c r="D2540" s="129">
        <f t="shared" si="41"/>
        <v>0.0110581651290216</v>
      </c>
    </row>
    <row r="2541" ht="14.25" customHeight="1" spans="2:4">
      <c r="B2541" s="136">
        <v>42572</v>
      </c>
      <c r="C2541" s="128">
        <v>8510.1</v>
      </c>
      <c r="D2541" s="129">
        <f t="shared" si="41"/>
        <v>0.00365448114593248</v>
      </c>
    </row>
    <row r="2542" ht="14.25" customHeight="1" spans="2:4">
      <c r="B2542" s="136">
        <v>42571</v>
      </c>
      <c r="C2542" s="128">
        <v>8565.85</v>
      </c>
      <c r="D2542" s="129">
        <f t="shared" si="41"/>
        <v>-0.00650840255199425</v>
      </c>
    </row>
    <row r="2543" ht="14.25" customHeight="1" spans="2:4">
      <c r="B2543" s="136">
        <v>42570</v>
      </c>
      <c r="C2543" s="128">
        <v>8528.55</v>
      </c>
      <c r="D2543" s="129">
        <f t="shared" si="41"/>
        <v>0.00437354532716605</v>
      </c>
    </row>
    <row r="2544" ht="14.25" customHeight="1" spans="2:4">
      <c r="B2544" s="136">
        <v>42569</v>
      </c>
      <c r="C2544" s="128">
        <v>8508.7</v>
      </c>
      <c r="D2544" s="129">
        <f t="shared" si="41"/>
        <v>0.00233290631941419</v>
      </c>
    </row>
    <row r="2545" ht="14.25" customHeight="1" spans="2:4">
      <c r="B2545" s="136">
        <v>42566</v>
      </c>
      <c r="C2545" s="128">
        <v>8541.4</v>
      </c>
      <c r="D2545" s="129">
        <f t="shared" si="41"/>
        <v>-0.00382841220408825</v>
      </c>
    </row>
    <row r="2546" ht="14.25" customHeight="1" spans="2:4">
      <c r="B2546" s="136">
        <v>42565</v>
      </c>
      <c r="C2546" s="128">
        <v>8565</v>
      </c>
      <c r="D2546" s="129">
        <f t="shared" si="41"/>
        <v>-0.0027553998832458</v>
      </c>
    </row>
    <row r="2547" ht="14.25" customHeight="1" spans="2:4">
      <c r="B2547" s="136">
        <v>42564</v>
      </c>
      <c r="C2547" s="128">
        <v>8519.5</v>
      </c>
      <c r="D2547" s="129">
        <f t="shared" si="41"/>
        <v>0.0053406890075709</v>
      </c>
    </row>
    <row r="2548" ht="14.25" customHeight="1" spans="2:4">
      <c r="B2548" s="136">
        <v>42563</v>
      </c>
      <c r="C2548" s="128">
        <v>8521.05</v>
      </c>
      <c r="D2548" s="129">
        <f t="shared" si="41"/>
        <v>-0.000181902465071659</v>
      </c>
    </row>
    <row r="2549" ht="14.25" customHeight="1" spans="2:4">
      <c r="B2549" s="136">
        <v>42562</v>
      </c>
      <c r="C2549" s="128">
        <v>8467.9</v>
      </c>
      <c r="D2549" s="129">
        <f t="shared" si="41"/>
        <v>0.00627664474072676</v>
      </c>
    </row>
    <row r="2550" ht="14.25" customHeight="1" spans="2:4">
      <c r="B2550" s="136">
        <v>42559</v>
      </c>
      <c r="C2550" s="128">
        <v>8323.2</v>
      </c>
      <c r="D2550" s="129">
        <f t="shared" si="41"/>
        <v>0.017385140330642</v>
      </c>
    </row>
    <row r="2551" ht="14.25" customHeight="1" spans="2:4">
      <c r="B2551" s="136">
        <v>42558</v>
      </c>
      <c r="C2551" s="128">
        <v>8337.9</v>
      </c>
      <c r="D2551" s="129">
        <f t="shared" si="41"/>
        <v>-0.00176303385744603</v>
      </c>
    </row>
    <row r="2552" ht="14.25" customHeight="1" spans="2:4">
      <c r="B2552" s="136">
        <v>42556</v>
      </c>
      <c r="C2552" s="128">
        <v>8335.95</v>
      </c>
      <c r="D2552" s="129">
        <f t="shared" si="41"/>
        <v>0.000233926547064112</v>
      </c>
    </row>
    <row r="2553" ht="14.25" customHeight="1" spans="2:4">
      <c r="B2553" s="136">
        <v>42555</v>
      </c>
      <c r="C2553" s="128">
        <v>8370.7</v>
      </c>
      <c r="D2553" s="129">
        <f t="shared" si="41"/>
        <v>-0.00415138518881331</v>
      </c>
    </row>
    <row r="2554" ht="14.25" customHeight="1" spans="2:4">
      <c r="B2554" s="136">
        <v>42552</v>
      </c>
      <c r="C2554" s="128">
        <v>8328.35</v>
      </c>
      <c r="D2554" s="129">
        <f t="shared" si="41"/>
        <v>0.00508504085443096</v>
      </c>
    </row>
    <row r="2555" ht="14.25" customHeight="1" spans="2:4">
      <c r="B2555" s="136">
        <v>42551</v>
      </c>
      <c r="C2555" s="128">
        <v>8287.75</v>
      </c>
      <c r="D2555" s="129">
        <f t="shared" si="41"/>
        <v>0.00489879641639779</v>
      </c>
    </row>
    <row r="2556" ht="14.25" customHeight="1" spans="2:4">
      <c r="B2556" s="136">
        <v>42550</v>
      </c>
      <c r="C2556" s="128">
        <v>8204</v>
      </c>
      <c r="D2556" s="129">
        <f t="shared" si="41"/>
        <v>0.0102084349098002</v>
      </c>
    </row>
    <row r="2557" ht="14.25" customHeight="1" spans="2:4">
      <c r="B2557" s="136">
        <v>42549</v>
      </c>
      <c r="C2557" s="128">
        <v>8127.85</v>
      </c>
      <c r="D2557" s="129">
        <f t="shared" si="41"/>
        <v>0.0093690213279034</v>
      </c>
    </row>
    <row r="2558" ht="14.25" customHeight="1" spans="2:4">
      <c r="B2558" s="136">
        <v>42548</v>
      </c>
      <c r="C2558" s="128">
        <v>8094.7</v>
      </c>
      <c r="D2558" s="129">
        <f t="shared" si="41"/>
        <v>0.00409527221515327</v>
      </c>
    </row>
    <row r="2559" ht="14.25" customHeight="1" spans="2:4">
      <c r="B2559" s="136">
        <v>42545</v>
      </c>
      <c r="C2559" s="128">
        <v>8088.6</v>
      </c>
      <c r="D2559" s="129">
        <f t="shared" si="41"/>
        <v>0.00075414781297134</v>
      </c>
    </row>
    <row r="2560" ht="14.25" customHeight="1" spans="2:4">
      <c r="B2560" s="136">
        <v>42544</v>
      </c>
      <c r="C2560" s="128">
        <v>8270.45</v>
      </c>
      <c r="D2560" s="129">
        <f t="shared" si="41"/>
        <v>-0.0219879208507398</v>
      </c>
    </row>
    <row r="2561" ht="14.25" customHeight="1" spans="2:4">
      <c r="B2561" s="136">
        <v>42543</v>
      </c>
      <c r="C2561" s="128">
        <v>8203.7</v>
      </c>
      <c r="D2561" s="129">
        <f t="shared" si="41"/>
        <v>0.00813657252215472</v>
      </c>
    </row>
    <row r="2562" ht="14.25" customHeight="1" spans="2:4">
      <c r="B2562" s="136">
        <v>42542</v>
      </c>
      <c r="C2562" s="128">
        <v>8219.9</v>
      </c>
      <c r="D2562" s="129">
        <f t="shared" ref="D2562:D2625" si="42">C2561/C2562-1</f>
        <v>-0.00197082689570416</v>
      </c>
    </row>
    <row r="2563" ht="14.25" customHeight="1" spans="2:4">
      <c r="B2563" s="136">
        <v>42541</v>
      </c>
      <c r="C2563" s="128">
        <v>8238.5</v>
      </c>
      <c r="D2563" s="129">
        <f t="shared" si="42"/>
        <v>-0.00225769254111796</v>
      </c>
    </row>
    <row r="2564" ht="14.25" customHeight="1" spans="2:4">
      <c r="B2564" s="136">
        <v>42538</v>
      </c>
      <c r="C2564" s="128">
        <v>8170.2</v>
      </c>
      <c r="D2564" s="129">
        <f t="shared" si="42"/>
        <v>0.00835964847861748</v>
      </c>
    </row>
    <row r="2565" ht="14.25" customHeight="1" spans="2:4">
      <c r="B2565" s="136">
        <v>42537</v>
      </c>
      <c r="C2565" s="128">
        <v>8140.75</v>
      </c>
      <c r="D2565" s="129">
        <f t="shared" si="42"/>
        <v>0.00361760280072465</v>
      </c>
    </row>
    <row r="2566" ht="14.25" customHeight="1" spans="2:4">
      <c r="B2566" s="136">
        <v>42536</v>
      </c>
      <c r="C2566" s="128">
        <v>8206.6</v>
      </c>
      <c r="D2566" s="129">
        <f t="shared" si="42"/>
        <v>-0.00802402943971925</v>
      </c>
    </row>
    <row r="2567" ht="14.25" customHeight="1" spans="2:4">
      <c r="B2567" s="136">
        <v>42535</v>
      </c>
      <c r="C2567" s="128">
        <v>8108.85</v>
      </c>
      <c r="D2567" s="129">
        <f t="shared" si="42"/>
        <v>0.0120547303255085</v>
      </c>
    </row>
    <row r="2568" ht="14.25" customHeight="1" spans="2:4">
      <c r="B2568" s="136">
        <v>42534</v>
      </c>
      <c r="C2568" s="128">
        <v>8110.6</v>
      </c>
      <c r="D2568" s="129">
        <f t="shared" si="42"/>
        <v>-0.00021576702093562</v>
      </c>
    </row>
    <row r="2569" ht="14.25" customHeight="1" spans="2:4">
      <c r="B2569" s="136">
        <v>42531</v>
      </c>
      <c r="C2569" s="128">
        <v>8170.05</v>
      </c>
      <c r="D2569" s="129">
        <f t="shared" si="42"/>
        <v>-0.00727657725472919</v>
      </c>
    </row>
    <row r="2570" ht="14.25" customHeight="1" spans="2:4">
      <c r="B2570" s="136">
        <v>42530</v>
      </c>
      <c r="C2570" s="128">
        <v>8203.6</v>
      </c>
      <c r="D2570" s="129">
        <f t="shared" si="42"/>
        <v>-0.0040896679506558</v>
      </c>
    </row>
    <row r="2571" ht="14.25" customHeight="1" spans="2:4">
      <c r="B2571" s="136">
        <v>42529</v>
      </c>
      <c r="C2571" s="128">
        <v>8273.05</v>
      </c>
      <c r="D2571" s="129">
        <f t="shared" si="42"/>
        <v>-0.00839472745843417</v>
      </c>
    </row>
    <row r="2572" ht="14.25" customHeight="1" spans="2:4">
      <c r="B2572" s="136">
        <v>42528</v>
      </c>
      <c r="C2572" s="128">
        <v>8266.45</v>
      </c>
      <c r="D2572" s="129">
        <f t="shared" si="42"/>
        <v>0.000798408022790742</v>
      </c>
    </row>
    <row r="2573" ht="14.25" customHeight="1" spans="2:4">
      <c r="B2573" s="136">
        <v>42527</v>
      </c>
      <c r="C2573" s="128">
        <v>8201.05</v>
      </c>
      <c r="D2573" s="129">
        <f t="shared" si="42"/>
        <v>0.00797458861974998</v>
      </c>
    </row>
    <row r="2574" ht="14.25" customHeight="1" spans="2:4">
      <c r="B2574" s="136">
        <v>42524</v>
      </c>
      <c r="C2574" s="128">
        <v>8220.8</v>
      </c>
      <c r="D2574" s="129">
        <f t="shared" si="42"/>
        <v>-0.00240244258466327</v>
      </c>
    </row>
    <row r="2575" ht="14.25" customHeight="1" spans="2:4">
      <c r="B2575" s="136">
        <v>42523</v>
      </c>
      <c r="C2575" s="128">
        <v>8218.95</v>
      </c>
      <c r="D2575" s="129">
        <f t="shared" si="42"/>
        <v>0.000225089579569016</v>
      </c>
    </row>
    <row r="2576" ht="14.25" customHeight="1" spans="2:4">
      <c r="B2576" s="136">
        <v>42522</v>
      </c>
      <c r="C2576" s="128">
        <v>8179.95</v>
      </c>
      <c r="D2576" s="129">
        <f t="shared" si="42"/>
        <v>0.00476775530412787</v>
      </c>
    </row>
    <row r="2577" ht="14.25" customHeight="1" spans="2:4">
      <c r="B2577" s="136">
        <v>42521</v>
      </c>
      <c r="C2577" s="128">
        <v>8160.1</v>
      </c>
      <c r="D2577" s="129">
        <f t="shared" si="42"/>
        <v>0.00243256822833038</v>
      </c>
    </row>
    <row r="2578" ht="14.25" customHeight="1" spans="2:4">
      <c r="B2578" s="136">
        <v>42520</v>
      </c>
      <c r="C2578" s="128">
        <v>8178.5</v>
      </c>
      <c r="D2578" s="129">
        <f t="shared" si="42"/>
        <v>-0.00224980130830832</v>
      </c>
    </row>
    <row r="2579" ht="14.25" customHeight="1" spans="2:4">
      <c r="B2579" s="136">
        <v>42517</v>
      </c>
      <c r="C2579" s="128">
        <v>8156.65</v>
      </c>
      <c r="D2579" s="129">
        <f t="shared" si="42"/>
        <v>0.00267879582917008</v>
      </c>
    </row>
    <row r="2580" ht="14.25" customHeight="1" spans="2:4">
      <c r="B2580" s="136">
        <v>42516</v>
      </c>
      <c r="C2580" s="128">
        <v>8069.65</v>
      </c>
      <c r="D2580" s="129">
        <f t="shared" si="42"/>
        <v>0.0107811367283588</v>
      </c>
    </row>
    <row r="2581" ht="14.25" customHeight="1" spans="2:4">
      <c r="B2581" s="136">
        <v>42515</v>
      </c>
      <c r="C2581" s="128">
        <v>7934.9</v>
      </c>
      <c r="D2581" s="129">
        <f t="shared" si="42"/>
        <v>0.0169819405411535</v>
      </c>
    </row>
    <row r="2582" ht="14.25" customHeight="1" spans="2:4">
      <c r="B2582" s="136">
        <v>42514</v>
      </c>
      <c r="C2582" s="128">
        <v>7748.85</v>
      </c>
      <c r="D2582" s="129">
        <f t="shared" si="42"/>
        <v>0.0240100143892319</v>
      </c>
    </row>
    <row r="2583" ht="14.25" customHeight="1" spans="2:4">
      <c r="B2583" s="136">
        <v>42513</v>
      </c>
      <c r="C2583" s="128">
        <v>7731.05</v>
      </c>
      <c r="D2583" s="129">
        <f t="shared" si="42"/>
        <v>0.00230240394254344</v>
      </c>
    </row>
    <row r="2584" ht="14.25" customHeight="1" spans="2:4">
      <c r="B2584" s="136">
        <v>42510</v>
      </c>
      <c r="C2584" s="128">
        <v>7749.7</v>
      </c>
      <c r="D2584" s="129">
        <f t="shared" si="42"/>
        <v>-0.00240654476947488</v>
      </c>
    </row>
    <row r="2585" ht="14.25" customHeight="1" spans="2:4">
      <c r="B2585" s="136">
        <v>42509</v>
      </c>
      <c r="C2585" s="128">
        <v>7783.4</v>
      </c>
      <c r="D2585" s="129">
        <f t="shared" si="42"/>
        <v>-0.00432972736850212</v>
      </c>
    </row>
    <row r="2586" ht="14.25" customHeight="1" spans="2:4">
      <c r="B2586" s="136">
        <v>42508</v>
      </c>
      <c r="C2586" s="128">
        <v>7870.15</v>
      </c>
      <c r="D2586" s="129">
        <f t="shared" si="42"/>
        <v>-0.0110226615757006</v>
      </c>
    </row>
    <row r="2587" ht="14.25" customHeight="1" spans="2:4">
      <c r="B2587" s="136">
        <v>42507</v>
      </c>
      <c r="C2587" s="128">
        <v>7890.75</v>
      </c>
      <c r="D2587" s="129">
        <f t="shared" si="42"/>
        <v>-0.00261065171244812</v>
      </c>
    </row>
    <row r="2588" ht="14.25" customHeight="1" spans="2:4">
      <c r="B2588" s="136">
        <v>42506</v>
      </c>
      <c r="C2588" s="128">
        <v>7860.75</v>
      </c>
      <c r="D2588" s="129">
        <f t="shared" si="42"/>
        <v>0.00381642972998764</v>
      </c>
    </row>
    <row r="2589" ht="14.25" customHeight="1" spans="2:4">
      <c r="B2589" s="136">
        <v>42503</v>
      </c>
      <c r="C2589" s="128">
        <v>7814.9</v>
      </c>
      <c r="D2589" s="129">
        <f t="shared" si="42"/>
        <v>0.00586699765831944</v>
      </c>
    </row>
    <row r="2590" ht="14.25" customHeight="1" spans="2:4">
      <c r="B2590" s="136">
        <v>42502</v>
      </c>
      <c r="C2590" s="128">
        <v>7900.4</v>
      </c>
      <c r="D2590" s="129">
        <f t="shared" si="42"/>
        <v>-0.0108222368487672</v>
      </c>
    </row>
    <row r="2591" ht="14.25" customHeight="1" spans="2:4">
      <c r="B2591" s="136">
        <v>42501</v>
      </c>
      <c r="C2591" s="128">
        <v>7848.85</v>
      </c>
      <c r="D2591" s="129">
        <f t="shared" si="42"/>
        <v>0.00656784114870312</v>
      </c>
    </row>
    <row r="2592" ht="14.25" customHeight="1" spans="2:4">
      <c r="B2592" s="136">
        <v>42500</v>
      </c>
      <c r="C2592" s="128">
        <v>7887.8</v>
      </c>
      <c r="D2592" s="129">
        <f t="shared" si="42"/>
        <v>-0.00493800552752355</v>
      </c>
    </row>
    <row r="2593" ht="14.25" customHeight="1" spans="2:4">
      <c r="B2593" s="136">
        <v>42499</v>
      </c>
      <c r="C2593" s="128">
        <v>7866.05</v>
      </c>
      <c r="D2593" s="129">
        <f t="shared" si="42"/>
        <v>0.00276504726006066</v>
      </c>
    </row>
    <row r="2594" ht="14.25" customHeight="1" spans="2:4">
      <c r="B2594" s="136">
        <v>42496</v>
      </c>
      <c r="C2594" s="128">
        <v>7733.45</v>
      </c>
      <c r="D2594" s="129">
        <f t="shared" si="42"/>
        <v>0.0171462930516135</v>
      </c>
    </row>
    <row r="2595" ht="14.25" customHeight="1" spans="2:4">
      <c r="B2595" s="136">
        <v>42495</v>
      </c>
      <c r="C2595" s="128">
        <v>7735.5</v>
      </c>
      <c r="D2595" s="129">
        <f t="shared" si="42"/>
        <v>-0.000265011957856665</v>
      </c>
    </row>
    <row r="2596" ht="14.25" customHeight="1" spans="2:4">
      <c r="B2596" s="136">
        <v>42494</v>
      </c>
      <c r="C2596" s="128">
        <v>7706.55</v>
      </c>
      <c r="D2596" s="129">
        <f t="shared" si="42"/>
        <v>0.00375654475738174</v>
      </c>
    </row>
    <row r="2597" ht="14.25" customHeight="1" spans="2:4">
      <c r="B2597" s="136">
        <v>42493</v>
      </c>
      <c r="C2597" s="128">
        <v>7747</v>
      </c>
      <c r="D2597" s="129">
        <f t="shared" si="42"/>
        <v>-0.00522137601652251</v>
      </c>
    </row>
    <row r="2598" ht="14.25" customHeight="1" spans="2:4">
      <c r="B2598" s="136">
        <v>42492</v>
      </c>
      <c r="C2598" s="128">
        <v>7805.9</v>
      </c>
      <c r="D2598" s="129">
        <f t="shared" si="42"/>
        <v>-0.00754557450133864</v>
      </c>
    </row>
    <row r="2599" ht="14.25" customHeight="1" spans="2:4">
      <c r="B2599" s="136">
        <v>42489</v>
      </c>
      <c r="C2599" s="128">
        <v>7849.8</v>
      </c>
      <c r="D2599" s="129">
        <f t="shared" si="42"/>
        <v>-0.00559249917195348</v>
      </c>
    </row>
    <row r="2600" ht="14.25" customHeight="1" spans="2:4">
      <c r="B2600" s="136">
        <v>42488</v>
      </c>
      <c r="C2600" s="128">
        <v>7847.25</v>
      </c>
      <c r="D2600" s="129">
        <f t="shared" si="42"/>
        <v>0.000324954601930605</v>
      </c>
    </row>
    <row r="2601" ht="14.25" customHeight="1" spans="2:4">
      <c r="B2601" s="136">
        <v>42487</v>
      </c>
      <c r="C2601" s="128">
        <v>7979.9</v>
      </c>
      <c r="D2601" s="129">
        <f t="shared" si="42"/>
        <v>-0.0166230153260065</v>
      </c>
    </row>
    <row r="2602" ht="14.25" customHeight="1" spans="2:4">
      <c r="B2602" s="136">
        <v>42486</v>
      </c>
      <c r="C2602" s="128">
        <v>7962.65</v>
      </c>
      <c r="D2602" s="129">
        <f t="shared" si="42"/>
        <v>0.00216636421291905</v>
      </c>
    </row>
    <row r="2603" ht="14.25" customHeight="1" spans="2:4">
      <c r="B2603" s="136">
        <v>42485</v>
      </c>
      <c r="C2603" s="128">
        <v>7855.05</v>
      </c>
      <c r="D2603" s="129">
        <f t="shared" si="42"/>
        <v>0.0136981941553522</v>
      </c>
    </row>
    <row r="2604" ht="14.25" customHeight="1" spans="2:4">
      <c r="B2604" s="136">
        <v>42482</v>
      </c>
      <c r="C2604" s="128">
        <v>7899.3</v>
      </c>
      <c r="D2604" s="129">
        <f t="shared" si="42"/>
        <v>-0.00560176218145914</v>
      </c>
    </row>
    <row r="2605" ht="14.25" customHeight="1" spans="2:4">
      <c r="B2605" s="136">
        <v>42481</v>
      </c>
      <c r="C2605" s="128">
        <v>7912.05</v>
      </c>
      <c r="D2605" s="129">
        <f t="shared" si="42"/>
        <v>-0.00161146605494156</v>
      </c>
    </row>
    <row r="2606" ht="14.25" customHeight="1" spans="2:4">
      <c r="B2606" s="136">
        <v>42480</v>
      </c>
      <c r="C2606" s="128">
        <v>7914.75</v>
      </c>
      <c r="D2606" s="129">
        <f t="shared" si="42"/>
        <v>-0.000341135222211686</v>
      </c>
    </row>
    <row r="2607" ht="14.25" customHeight="1" spans="2:4">
      <c r="B2607" s="136">
        <v>42478</v>
      </c>
      <c r="C2607" s="128">
        <v>7914.7</v>
      </c>
      <c r="D2607" s="129">
        <f t="shared" si="42"/>
        <v>6.31735883871443e-6</v>
      </c>
    </row>
    <row r="2608" ht="14.25" customHeight="1" spans="2:4">
      <c r="B2608" s="136">
        <v>42473</v>
      </c>
      <c r="C2608" s="128">
        <v>7850.45</v>
      </c>
      <c r="D2608" s="129">
        <f t="shared" si="42"/>
        <v>0.00818424421529973</v>
      </c>
    </row>
    <row r="2609" ht="14.25" customHeight="1" spans="2:4">
      <c r="B2609" s="136">
        <v>42472</v>
      </c>
      <c r="C2609" s="128">
        <v>7708.95</v>
      </c>
      <c r="D2609" s="129">
        <f t="shared" si="42"/>
        <v>0.0183552883336902</v>
      </c>
    </row>
    <row r="2610" ht="14.25" customHeight="1" spans="2:4">
      <c r="B2610" s="136">
        <v>42471</v>
      </c>
      <c r="C2610" s="128">
        <v>7671.4</v>
      </c>
      <c r="D2610" s="129">
        <f t="shared" si="42"/>
        <v>0.00489480407748255</v>
      </c>
    </row>
    <row r="2611" ht="14.25" customHeight="1" spans="2:4">
      <c r="B2611" s="136">
        <v>42468</v>
      </c>
      <c r="C2611" s="128">
        <v>7555.2</v>
      </c>
      <c r="D2611" s="129">
        <f t="shared" si="42"/>
        <v>0.0153801355357899</v>
      </c>
    </row>
    <row r="2612" ht="14.25" customHeight="1" spans="2:4">
      <c r="B2612" s="136">
        <v>42467</v>
      </c>
      <c r="C2612" s="128">
        <v>7546.45</v>
      </c>
      <c r="D2612" s="129">
        <f t="shared" si="42"/>
        <v>0.00115948558593781</v>
      </c>
    </row>
    <row r="2613" ht="14.25" customHeight="1" spans="2:4">
      <c r="B2613" s="136">
        <v>42466</v>
      </c>
      <c r="C2613" s="128">
        <v>7614.35</v>
      </c>
      <c r="D2613" s="129">
        <f t="shared" si="42"/>
        <v>-0.008917373117863</v>
      </c>
    </row>
    <row r="2614" ht="14.25" customHeight="1" spans="2:4">
      <c r="B2614" s="136">
        <v>42465</v>
      </c>
      <c r="C2614" s="128">
        <v>7603.2</v>
      </c>
      <c r="D2614" s="129">
        <f t="shared" si="42"/>
        <v>0.00146648779461289</v>
      </c>
    </row>
    <row r="2615" ht="14.25" customHeight="1" spans="2:4">
      <c r="B2615" s="136">
        <v>42464</v>
      </c>
      <c r="C2615" s="128">
        <v>7758.8</v>
      </c>
      <c r="D2615" s="129">
        <f t="shared" si="42"/>
        <v>-0.0200546476259216</v>
      </c>
    </row>
    <row r="2616" ht="14.25" customHeight="1" spans="2:4">
      <c r="B2616" s="136">
        <v>42461</v>
      </c>
      <c r="C2616" s="128">
        <v>7713.05</v>
      </c>
      <c r="D2616" s="129">
        <f t="shared" si="42"/>
        <v>0.00593150569489365</v>
      </c>
    </row>
    <row r="2617" ht="14.25" customHeight="1" spans="2:4">
      <c r="B2617" s="136">
        <v>42460</v>
      </c>
      <c r="C2617" s="128">
        <v>7738.4</v>
      </c>
      <c r="D2617" s="129">
        <f t="shared" si="42"/>
        <v>-0.00327587098108129</v>
      </c>
    </row>
    <row r="2618" ht="14.25" customHeight="1" spans="2:4">
      <c r="B2618" s="136">
        <v>42459</v>
      </c>
      <c r="C2618" s="128">
        <v>7735.2</v>
      </c>
      <c r="D2618" s="129">
        <f t="shared" si="42"/>
        <v>0.000413693246457791</v>
      </c>
    </row>
    <row r="2619" ht="14.25" customHeight="1" spans="2:4">
      <c r="B2619" s="136">
        <v>42458</v>
      </c>
      <c r="C2619" s="128">
        <v>7597</v>
      </c>
      <c r="D2619" s="129">
        <f t="shared" si="42"/>
        <v>0.0181913913386862</v>
      </c>
    </row>
    <row r="2620" ht="14.25" customHeight="1" spans="2:4">
      <c r="B2620" s="136">
        <v>42457</v>
      </c>
      <c r="C2620" s="128">
        <v>7615.1</v>
      </c>
      <c r="D2620" s="129">
        <f t="shared" si="42"/>
        <v>-0.00237685650877861</v>
      </c>
    </row>
    <row r="2621" ht="14.25" customHeight="1" spans="2:4">
      <c r="B2621" s="136">
        <v>42452</v>
      </c>
      <c r="C2621" s="128">
        <v>7716.5</v>
      </c>
      <c r="D2621" s="129">
        <f t="shared" si="42"/>
        <v>-0.013140672584721</v>
      </c>
    </row>
    <row r="2622" ht="14.25" customHeight="1" spans="2:4">
      <c r="B2622" s="136">
        <v>42451</v>
      </c>
      <c r="C2622" s="128">
        <v>7714.9</v>
      </c>
      <c r="D2622" s="129">
        <f t="shared" si="42"/>
        <v>0.000207390892947412</v>
      </c>
    </row>
    <row r="2623" ht="14.25" customHeight="1" spans="2:4">
      <c r="B2623" s="136">
        <v>42450</v>
      </c>
      <c r="C2623" s="128">
        <v>7704.25</v>
      </c>
      <c r="D2623" s="129">
        <f t="shared" si="42"/>
        <v>0.00138235389557706</v>
      </c>
    </row>
    <row r="2624" ht="14.25" customHeight="1" spans="2:4">
      <c r="B2624" s="136">
        <v>42447</v>
      </c>
      <c r="C2624" s="128">
        <v>7604.35</v>
      </c>
      <c r="D2624" s="129">
        <f t="shared" si="42"/>
        <v>0.0131372175136599</v>
      </c>
    </row>
    <row r="2625" ht="14.25" customHeight="1" spans="2:4">
      <c r="B2625" s="136">
        <v>42446</v>
      </c>
      <c r="C2625" s="128">
        <v>7512.55</v>
      </c>
      <c r="D2625" s="129">
        <f t="shared" si="42"/>
        <v>0.0122195526152904</v>
      </c>
    </row>
    <row r="2626" ht="14.25" customHeight="1" spans="2:4">
      <c r="B2626" s="136">
        <v>42445</v>
      </c>
      <c r="C2626" s="128">
        <v>7498.75</v>
      </c>
      <c r="D2626" s="129">
        <f t="shared" ref="D2626:D2677" si="43">C2625/C2626-1</f>
        <v>0.00184030671778634</v>
      </c>
    </row>
    <row r="2627" ht="14.25" customHeight="1" spans="2:4">
      <c r="B2627" s="136">
        <v>42444</v>
      </c>
      <c r="C2627" s="128">
        <v>7460.6</v>
      </c>
      <c r="D2627" s="129">
        <f t="shared" si="43"/>
        <v>0.00511352974291612</v>
      </c>
    </row>
    <row r="2628" ht="14.25" customHeight="1" spans="2:4">
      <c r="B2628" s="136">
        <v>42443</v>
      </c>
      <c r="C2628" s="128">
        <v>7538.75</v>
      </c>
      <c r="D2628" s="129">
        <f t="shared" si="43"/>
        <v>-0.0103664400596916</v>
      </c>
    </row>
    <row r="2629" ht="14.25" customHeight="1" spans="2:4">
      <c r="B2629" s="136">
        <v>42440</v>
      </c>
      <c r="C2629" s="128">
        <v>7510.2</v>
      </c>
      <c r="D2629" s="129">
        <f t="shared" si="43"/>
        <v>0.00380149663124829</v>
      </c>
    </row>
    <row r="2630" ht="14.25" customHeight="1" spans="2:4">
      <c r="B2630" s="136">
        <v>42439</v>
      </c>
      <c r="C2630" s="128">
        <v>7486.15</v>
      </c>
      <c r="D2630" s="129">
        <f t="shared" si="43"/>
        <v>0.00321259926664585</v>
      </c>
    </row>
    <row r="2631" ht="14.25" customHeight="1" spans="2:4">
      <c r="B2631" s="136">
        <v>42438</v>
      </c>
      <c r="C2631" s="128">
        <v>7531.8</v>
      </c>
      <c r="D2631" s="129">
        <f t="shared" si="43"/>
        <v>-0.00606096816166135</v>
      </c>
    </row>
    <row r="2632" ht="14.25" customHeight="1" spans="2:4">
      <c r="B2632" s="136">
        <v>42437</v>
      </c>
      <c r="C2632" s="128">
        <v>7485.3</v>
      </c>
      <c r="D2632" s="129">
        <f t="shared" si="43"/>
        <v>0.00621217586469469</v>
      </c>
    </row>
    <row r="2633" ht="14.25" customHeight="1" spans="2:4">
      <c r="B2633" s="136">
        <v>42433</v>
      </c>
      <c r="C2633" s="128">
        <v>7485.35</v>
      </c>
      <c r="D2633" s="129">
        <f t="shared" si="43"/>
        <v>-6.6797143754016e-6</v>
      </c>
    </row>
    <row r="2634" ht="14.25" customHeight="1" spans="2:4">
      <c r="B2634" s="136">
        <v>42432</v>
      </c>
      <c r="C2634" s="128">
        <v>7475.6</v>
      </c>
      <c r="D2634" s="129">
        <f t="shared" si="43"/>
        <v>0.00130424313767463</v>
      </c>
    </row>
    <row r="2635" ht="14.25" customHeight="1" spans="2:4">
      <c r="B2635" s="136">
        <v>42431</v>
      </c>
      <c r="C2635" s="128">
        <v>7368.85</v>
      </c>
      <c r="D2635" s="129">
        <f t="shared" si="43"/>
        <v>0.0144866566696296</v>
      </c>
    </row>
    <row r="2636" ht="14.25" customHeight="1" spans="2:4">
      <c r="B2636" s="136">
        <v>42430</v>
      </c>
      <c r="C2636" s="128">
        <v>7222.3</v>
      </c>
      <c r="D2636" s="129">
        <f t="shared" si="43"/>
        <v>0.0202913199396315</v>
      </c>
    </row>
    <row r="2637" ht="14.25" customHeight="1" spans="2:4">
      <c r="B2637" s="136">
        <v>42429</v>
      </c>
      <c r="C2637" s="128">
        <v>6987.05</v>
      </c>
      <c r="D2637" s="129">
        <f t="shared" si="43"/>
        <v>0.0336694313050572</v>
      </c>
    </row>
    <row r="2638" ht="14.25" customHeight="1" spans="2:4">
      <c r="B2638" s="136">
        <v>42426</v>
      </c>
      <c r="C2638" s="128">
        <v>7029.75</v>
      </c>
      <c r="D2638" s="129">
        <f t="shared" si="43"/>
        <v>-0.00607418471496135</v>
      </c>
    </row>
    <row r="2639" ht="14.25" customHeight="1" spans="2:4">
      <c r="B2639" s="136">
        <v>42425</v>
      </c>
      <c r="C2639" s="128">
        <v>6970.6</v>
      </c>
      <c r="D2639" s="129">
        <f t="shared" si="43"/>
        <v>0.00848563968668392</v>
      </c>
    </row>
    <row r="2640" ht="14.25" customHeight="1" spans="2:4">
      <c r="B2640" s="136">
        <v>42424</v>
      </c>
      <c r="C2640" s="128">
        <v>7018.7</v>
      </c>
      <c r="D2640" s="129">
        <f t="shared" si="43"/>
        <v>-0.00685312094832369</v>
      </c>
    </row>
    <row r="2641" ht="14.25" customHeight="1" spans="2:4">
      <c r="B2641" s="136">
        <v>42423</v>
      </c>
      <c r="C2641" s="128">
        <v>7109.55</v>
      </c>
      <c r="D2641" s="129">
        <f t="shared" si="43"/>
        <v>-0.0127785865490784</v>
      </c>
    </row>
    <row r="2642" ht="14.25" customHeight="1" spans="2:4">
      <c r="B2642" s="136">
        <v>42422</v>
      </c>
      <c r="C2642" s="128">
        <v>7234.55</v>
      </c>
      <c r="D2642" s="129">
        <f t="shared" si="43"/>
        <v>-0.0172781997498117</v>
      </c>
    </row>
    <row r="2643" ht="14.25" customHeight="1" spans="2:4">
      <c r="B2643" s="136">
        <v>42419</v>
      </c>
      <c r="C2643" s="128">
        <v>7210.75</v>
      </c>
      <c r="D2643" s="129">
        <f t="shared" si="43"/>
        <v>0.00330062753527716</v>
      </c>
    </row>
    <row r="2644" ht="14.25" customHeight="1" spans="2:4">
      <c r="B2644" s="136">
        <v>42418</v>
      </c>
      <c r="C2644" s="128">
        <v>7191.75</v>
      </c>
      <c r="D2644" s="129">
        <f t="shared" si="43"/>
        <v>0.00264191608440223</v>
      </c>
    </row>
    <row r="2645" ht="14.25" customHeight="1" spans="2:4">
      <c r="B2645" s="136">
        <v>42417</v>
      </c>
      <c r="C2645" s="128">
        <v>7108.45</v>
      </c>
      <c r="D2645" s="129">
        <f t="shared" si="43"/>
        <v>0.0117184477628738</v>
      </c>
    </row>
    <row r="2646" ht="14.25" customHeight="1" spans="2:4">
      <c r="B2646" s="136">
        <v>42416</v>
      </c>
      <c r="C2646" s="128">
        <v>7048.25</v>
      </c>
      <c r="D2646" s="129">
        <f t="shared" si="43"/>
        <v>0.00854112723016343</v>
      </c>
    </row>
    <row r="2647" ht="14.25" customHeight="1" spans="2:4">
      <c r="B2647" s="136">
        <v>42415</v>
      </c>
      <c r="C2647" s="128">
        <v>7162.95</v>
      </c>
      <c r="D2647" s="129">
        <f t="shared" si="43"/>
        <v>-0.0160129555560209</v>
      </c>
    </row>
    <row r="2648" ht="14.25" customHeight="1" spans="2:4">
      <c r="B2648" s="136">
        <v>42412</v>
      </c>
      <c r="C2648" s="128">
        <v>6980.95</v>
      </c>
      <c r="D2648" s="129">
        <f t="shared" si="43"/>
        <v>0.026070950228837</v>
      </c>
    </row>
    <row r="2649" ht="14.25" customHeight="1" spans="2:4">
      <c r="B2649" s="136">
        <v>42411</v>
      </c>
      <c r="C2649" s="128">
        <v>6976.35</v>
      </c>
      <c r="D2649" s="129">
        <f t="shared" si="43"/>
        <v>0.000659370587771546</v>
      </c>
    </row>
    <row r="2650" ht="14.25" customHeight="1" spans="2:4">
      <c r="B2650" s="136">
        <v>42410</v>
      </c>
      <c r="C2650" s="128">
        <v>7215.7</v>
      </c>
      <c r="D2650" s="129">
        <f t="shared" si="43"/>
        <v>-0.0331707249469905</v>
      </c>
    </row>
    <row r="2651" ht="14.25" customHeight="1" spans="2:4">
      <c r="B2651" s="136">
        <v>42409</v>
      </c>
      <c r="C2651" s="128">
        <v>7298.2</v>
      </c>
      <c r="D2651" s="129">
        <f t="shared" si="43"/>
        <v>-0.011304157189444</v>
      </c>
    </row>
    <row r="2652" ht="14.25" customHeight="1" spans="2:4">
      <c r="B2652" s="136">
        <v>42408</v>
      </c>
      <c r="C2652" s="128">
        <v>7387.25</v>
      </c>
      <c r="D2652" s="129">
        <f t="shared" si="43"/>
        <v>-0.0120545534535856</v>
      </c>
    </row>
    <row r="2653" ht="14.25" customHeight="1" spans="2:4">
      <c r="B2653" s="136">
        <v>42405</v>
      </c>
      <c r="C2653" s="128">
        <v>7489.1</v>
      </c>
      <c r="D2653" s="129">
        <f t="shared" si="43"/>
        <v>-0.0135997649917882</v>
      </c>
    </row>
    <row r="2654" ht="14.25" customHeight="1" spans="2:4">
      <c r="B2654" s="136">
        <v>42404</v>
      </c>
      <c r="C2654" s="128">
        <v>7404</v>
      </c>
      <c r="D2654" s="129">
        <f t="shared" si="43"/>
        <v>0.0114937871420855</v>
      </c>
    </row>
    <row r="2655" ht="14.25" customHeight="1" spans="2:4">
      <c r="B2655" s="136">
        <v>42403</v>
      </c>
      <c r="C2655" s="128">
        <v>7361.8</v>
      </c>
      <c r="D2655" s="129">
        <f t="shared" si="43"/>
        <v>0.00573229373251105</v>
      </c>
    </row>
    <row r="2656" ht="14.25" customHeight="1" spans="2:4">
      <c r="B2656" s="136">
        <v>42402</v>
      </c>
      <c r="C2656" s="128">
        <v>7455.55</v>
      </c>
      <c r="D2656" s="129">
        <f t="shared" si="43"/>
        <v>-0.0125745250182749</v>
      </c>
    </row>
    <row r="2657" ht="14.25" customHeight="1" spans="2:4">
      <c r="B2657" s="136">
        <v>42401</v>
      </c>
      <c r="C2657" s="128">
        <v>7555.95</v>
      </c>
      <c r="D2657" s="129">
        <f t="shared" si="43"/>
        <v>-0.0132875416062838</v>
      </c>
    </row>
    <row r="2658" ht="14.25" customHeight="1" spans="2:4">
      <c r="B2658" s="136">
        <v>42398</v>
      </c>
      <c r="C2658" s="128">
        <v>7563.55</v>
      </c>
      <c r="D2658" s="129">
        <f t="shared" si="43"/>
        <v>-0.00100481916560347</v>
      </c>
    </row>
    <row r="2659" ht="14.25" customHeight="1" spans="2:4">
      <c r="B2659" s="136">
        <v>42397</v>
      </c>
      <c r="C2659" s="128">
        <v>7424.65</v>
      </c>
      <c r="D2659" s="129">
        <f t="shared" si="43"/>
        <v>0.0187079525634206</v>
      </c>
    </row>
    <row r="2660" ht="14.25" customHeight="1" spans="2:4">
      <c r="B2660" s="136">
        <v>42396</v>
      </c>
      <c r="C2660" s="128">
        <v>7437.75</v>
      </c>
      <c r="D2660" s="129">
        <f t="shared" si="43"/>
        <v>-0.00176128533494679</v>
      </c>
    </row>
    <row r="2661" ht="14.25" customHeight="1" spans="2:4">
      <c r="B2661" s="136">
        <v>42394</v>
      </c>
      <c r="C2661" s="128">
        <v>7436.15</v>
      </c>
      <c r="D2661" s="129">
        <f t="shared" si="43"/>
        <v>0.000215165105599047</v>
      </c>
    </row>
    <row r="2662" ht="14.25" customHeight="1" spans="2:4">
      <c r="B2662" s="136">
        <v>42391</v>
      </c>
      <c r="C2662" s="128">
        <v>7422.45</v>
      </c>
      <c r="D2662" s="129">
        <f t="shared" si="43"/>
        <v>0.00184575173965462</v>
      </c>
    </row>
    <row r="2663" ht="14.25" customHeight="1" spans="2:4">
      <c r="B2663" s="136">
        <v>42390</v>
      </c>
      <c r="C2663" s="128">
        <v>7276.8</v>
      </c>
      <c r="D2663" s="129">
        <f t="shared" si="43"/>
        <v>0.0200156662269129</v>
      </c>
    </row>
    <row r="2664" ht="14.25" customHeight="1" spans="2:4">
      <c r="B2664" s="136">
        <v>42389</v>
      </c>
      <c r="C2664" s="128">
        <v>7309.3</v>
      </c>
      <c r="D2664" s="129">
        <f t="shared" si="43"/>
        <v>-0.00444639021520532</v>
      </c>
    </row>
    <row r="2665" ht="14.25" customHeight="1" spans="2:4">
      <c r="B2665" s="136">
        <v>42388</v>
      </c>
      <c r="C2665" s="128">
        <v>7435.1</v>
      </c>
      <c r="D2665" s="129">
        <f t="shared" si="43"/>
        <v>-0.0169197455313311</v>
      </c>
    </row>
    <row r="2666" ht="14.25" customHeight="1" spans="2:4">
      <c r="B2666" s="136">
        <v>42387</v>
      </c>
      <c r="C2666" s="128">
        <v>7351</v>
      </c>
      <c r="D2666" s="129">
        <f t="shared" si="43"/>
        <v>0.0114406203237656</v>
      </c>
    </row>
    <row r="2667" ht="14.25" customHeight="1" spans="2:4">
      <c r="B2667" s="136">
        <v>42384</v>
      </c>
      <c r="C2667" s="128">
        <v>7437.8</v>
      </c>
      <c r="D2667" s="129">
        <f t="shared" si="43"/>
        <v>-0.0116701175078653</v>
      </c>
    </row>
    <row r="2668" ht="14.25" customHeight="1" spans="2:4">
      <c r="B2668" s="136">
        <v>42383</v>
      </c>
      <c r="C2668" s="128">
        <v>7536.8</v>
      </c>
      <c r="D2668" s="129">
        <f t="shared" si="43"/>
        <v>-0.0131355482432862</v>
      </c>
    </row>
    <row r="2669" ht="14.25" customHeight="1" spans="2:4">
      <c r="B2669" s="136">
        <v>42382</v>
      </c>
      <c r="C2669" s="128">
        <v>7562.4</v>
      </c>
      <c r="D2669" s="129">
        <f t="shared" si="43"/>
        <v>-0.00338516872950378</v>
      </c>
    </row>
    <row r="2670" ht="14.25" customHeight="1" spans="2:4">
      <c r="B2670" s="136">
        <v>42381</v>
      </c>
      <c r="C2670" s="128">
        <v>7510.3</v>
      </c>
      <c r="D2670" s="129">
        <f t="shared" si="43"/>
        <v>0.00693713966153142</v>
      </c>
    </row>
    <row r="2671" ht="14.25" customHeight="1" spans="2:4">
      <c r="B2671" s="136">
        <v>42380</v>
      </c>
      <c r="C2671" s="128">
        <v>7563.85</v>
      </c>
      <c r="D2671" s="129">
        <f t="shared" si="43"/>
        <v>-0.00707972791633893</v>
      </c>
    </row>
    <row r="2672" ht="14.25" customHeight="1" spans="2:4">
      <c r="B2672" s="136">
        <v>42377</v>
      </c>
      <c r="C2672" s="128">
        <v>7601.35</v>
      </c>
      <c r="D2672" s="129">
        <f t="shared" si="43"/>
        <v>-0.00493333421037057</v>
      </c>
    </row>
    <row r="2673" ht="14.25" customHeight="1" spans="2:4">
      <c r="B2673" s="136">
        <v>42376</v>
      </c>
      <c r="C2673" s="128">
        <v>7568.3</v>
      </c>
      <c r="D2673" s="129">
        <f t="shared" si="43"/>
        <v>0.00436689877515439</v>
      </c>
    </row>
    <row r="2674" ht="14.25" customHeight="1" spans="2:4">
      <c r="B2674" s="136">
        <v>42375</v>
      </c>
      <c r="C2674" s="128">
        <v>7741</v>
      </c>
      <c r="D2674" s="129">
        <f t="shared" si="43"/>
        <v>-0.0223097790983077</v>
      </c>
    </row>
    <row r="2675" ht="14.25" customHeight="1" spans="2:4">
      <c r="B2675" s="136">
        <v>42374</v>
      </c>
      <c r="C2675" s="128">
        <v>7784.65</v>
      </c>
      <c r="D2675" s="129">
        <f t="shared" si="43"/>
        <v>-0.00560718850558461</v>
      </c>
    </row>
    <row r="2676" ht="14.25" customHeight="1" spans="2:4">
      <c r="B2676" s="136">
        <v>42373</v>
      </c>
      <c r="C2676" s="128">
        <v>7791.3</v>
      </c>
      <c r="D2676" s="129">
        <f t="shared" si="43"/>
        <v>-0.000853516101292584</v>
      </c>
    </row>
    <row r="2677" ht="14.25" customHeight="1" spans="2:4">
      <c r="B2677" s="136">
        <v>42370</v>
      </c>
      <c r="C2677" s="128">
        <v>7963.2</v>
      </c>
      <c r="D2677" s="129">
        <f t="shared" si="43"/>
        <v>-0.0215867992766726</v>
      </c>
    </row>
    <row r="2679" ht="14.25" customHeight="1" spans="2:4">
      <c r="B2679" s="121"/>
      <c r="C2679" s="121"/>
    </row>
    <row r="2681" ht="14.25" customHeight="1" spans="2:4">
      <c r="B2681" s="121"/>
      <c r="C2681" s="121"/>
    </row>
    <row r="2683" ht="14.25" customHeight="1" spans="2:4">
      <c r="B2683" s="121"/>
      <c r="C2683" s="138"/>
    </row>
  </sheetData>
  <mergeCells count="1">
    <mergeCell ref="A1:J4"/>
  </mergeCells>
  <conditionalFormatting sqref="D8:D2677">
    <cfRule type="cellIs" dxfId="0" priority="2" operator="greaterThan">
      <formula>0</formula>
    </cfRule>
    <cfRule type="cellIs" dxfId="1" priority="3" operator="lessThan">
      <formula>0</formula>
    </cfRule>
  </conditionalFormatting>
  <pageMargins left="0.7" right="0.7" top="0.75" bottom="0.75" header="0.511811023622047" footer="0.511811023622047"/>
  <pageSetup paperSize="9" orientation="portrait" horizontalDpi="300" verticalDpi="3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P28"/>
  <sheetViews>
    <sheetView showGridLines="0" zoomScale="88" zoomScaleNormal="88" workbookViewId="0">
      <selection activeCell="H20" sqref="H20"/>
    </sheetView>
  </sheetViews>
  <sheetFormatPr defaultColWidth="9" defaultRowHeight="14.4"/>
  <cols>
    <col min="1" max="2" width="1.16666666666667" style="67" customWidth="1"/>
    <col min="3" max="3" width="1.16666666666667" style="69" customWidth="1"/>
    <col min="4" max="4" width="40.6666666666667" style="70" customWidth="1"/>
    <col min="5" max="6" width="12.6666666666667" style="70" customWidth="1"/>
    <col min="7" max="7" width="2.66666666666667" style="70" customWidth="1"/>
    <col min="8" max="8" width="19.3333333333333" style="71" customWidth="1"/>
    <col min="9" max="11" width="11.6666666666667" style="70" customWidth="1"/>
    <col min="12" max="16" width="11.6666666666667" style="67" customWidth="1"/>
    <col min="17" max="16384" width="9" style="67"/>
  </cols>
  <sheetData>
    <row r="1" ht="32.25" customHeight="1" spans="1:16">
      <c r="A1" s="72"/>
      <c r="B1" s="63"/>
      <c r="C1" s="63"/>
      <c r="D1" s="4" t="s">
        <v>21</v>
      </c>
      <c r="E1" s="4"/>
      <c r="F1" s="4"/>
      <c r="G1" s="63"/>
      <c r="H1" s="63"/>
      <c r="I1" s="63"/>
      <c r="J1" s="63"/>
      <c r="K1" s="63"/>
      <c r="L1" s="63"/>
      <c r="M1" s="63"/>
      <c r="N1" s="63"/>
      <c r="O1" s="63"/>
      <c r="P1" s="63"/>
    </row>
    <row r="2" ht="15" customHeight="1" spans="1:16">
      <c r="A2" s="73"/>
      <c r="B2" s="63"/>
      <c r="C2" s="63"/>
      <c r="D2" s="4"/>
      <c r="E2" s="4"/>
      <c r="F2" s="4"/>
      <c r="G2" s="63"/>
      <c r="H2" s="63"/>
      <c r="I2" s="63"/>
      <c r="J2" s="63"/>
      <c r="K2" s="63"/>
      <c r="L2" s="63"/>
      <c r="M2" s="63"/>
      <c r="N2" s="63"/>
      <c r="O2" s="63"/>
      <c r="P2" s="63"/>
    </row>
    <row r="3" ht="14.25" customHeight="1" spans="1:16">
      <c r="D3" s="4"/>
      <c r="E3" s="4"/>
      <c r="F3" s="4"/>
    </row>
    <row r="5" s="67" customFormat="1" ht="14.25" customHeight="1" spans="1:16">
      <c r="D5" s="74" t="s">
        <v>424</v>
      </c>
      <c r="E5" s="75"/>
      <c r="F5" s="75"/>
      <c r="G5" s="75"/>
      <c r="H5" s="76" t="s">
        <v>425</v>
      </c>
      <c r="I5" s="77" t="s">
        <v>426</v>
      </c>
      <c r="J5" s="77" t="s">
        <v>427</v>
      </c>
      <c r="K5" s="77" t="s">
        <v>428</v>
      </c>
      <c r="L5" s="77" t="s">
        <v>429</v>
      </c>
      <c r="M5" s="77" t="s">
        <v>430</v>
      </c>
      <c r="N5" s="78" t="s">
        <v>97</v>
      </c>
      <c r="O5" s="77" t="s">
        <v>431</v>
      </c>
      <c r="P5" s="77" t="s">
        <v>432</v>
      </c>
    </row>
    <row r="6" s="68" customFormat="1" ht="15" customHeight="1" spans="1:16">
      <c r="D6" s="79" t="s">
        <v>433</v>
      </c>
      <c r="E6" s="80"/>
      <c r="F6" s="80"/>
      <c r="G6" s="80"/>
      <c r="H6" s="79" t="s">
        <v>434</v>
      </c>
      <c r="I6" s="79">
        <f>Assumptions!C13</f>
        <v>1161.2</v>
      </c>
      <c r="J6" s="81">
        <v>4200</v>
      </c>
      <c r="K6" s="82">
        <v>8227</v>
      </c>
      <c r="L6" s="79">
        <v>24455</v>
      </c>
      <c r="M6" s="82">
        <v>162990</v>
      </c>
      <c r="N6" s="82">
        <v>39236</v>
      </c>
      <c r="O6" s="82">
        <v>26750</v>
      </c>
      <c r="P6" s="83">
        <v>0.29</v>
      </c>
    </row>
    <row r="7" s="68" customFormat="1" ht="15" customHeight="1" spans="1:16">
      <c r="D7" s="84"/>
      <c r="E7" s="85"/>
      <c r="F7" s="85"/>
      <c r="G7" s="85"/>
      <c r="H7" s="86"/>
      <c r="I7" s="87"/>
      <c r="J7" s="88"/>
      <c r="K7" s="89"/>
      <c r="L7" s="90"/>
      <c r="M7" s="91"/>
      <c r="N7" s="92"/>
      <c r="O7" s="92"/>
      <c r="P7" s="93"/>
    </row>
    <row r="8" s="68" customFormat="1" ht="15" customHeight="1" spans="1:16">
      <c r="D8" s="55" t="s">
        <v>435</v>
      </c>
      <c r="H8" s="55" t="s">
        <v>435</v>
      </c>
      <c r="I8" s="55">
        <v>2104.2</v>
      </c>
      <c r="J8" s="53">
        <v>361.81</v>
      </c>
      <c r="K8" s="94">
        <v>9392</v>
      </c>
      <c r="L8" s="55">
        <v>15463</v>
      </c>
      <c r="M8" s="94">
        <v>255324</v>
      </c>
      <c r="N8" s="94">
        <v>67407</v>
      </c>
      <c r="O8" s="94">
        <v>48797</v>
      </c>
      <c r="P8" s="95">
        <v>0.25</v>
      </c>
    </row>
    <row r="9" s="68" customFormat="1" ht="15" customHeight="1" spans="1:16">
      <c r="D9" s="55" t="s">
        <v>436</v>
      </c>
      <c r="H9" s="55" t="s">
        <v>437</v>
      </c>
      <c r="I9" s="55">
        <v>1240</v>
      </c>
      <c r="J9" s="53">
        <v>271.37</v>
      </c>
      <c r="K9" s="94">
        <v>6276</v>
      </c>
      <c r="L9" s="55">
        <v>21289</v>
      </c>
      <c r="M9" s="94">
        <v>117055</v>
      </c>
      <c r="N9" s="94">
        <v>25504</v>
      </c>
      <c r="O9" s="94">
        <v>17399</v>
      </c>
      <c r="P9" s="95">
        <v>0.25</v>
      </c>
    </row>
    <row r="10" s="68" customFormat="1" ht="15" customHeight="1" spans="1:16">
      <c r="D10" s="55" t="s">
        <v>438</v>
      </c>
      <c r="H10" s="55" t="s">
        <v>439</v>
      </c>
      <c r="I10" s="55">
        <v>164</v>
      </c>
      <c r="J10" s="53">
        <v>1048.33</v>
      </c>
      <c r="K10" s="94">
        <v>19204</v>
      </c>
      <c r="L10" s="55">
        <v>12197</v>
      </c>
      <c r="M10" s="94">
        <v>89088</v>
      </c>
      <c r="N10" s="94">
        <v>18021</v>
      </c>
      <c r="O10" s="94">
        <v>13218</v>
      </c>
      <c r="P10" s="95">
        <v>0.24</v>
      </c>
    </row>
    <row r="11" s="68" customFormat="1" ht="15" customHeight="1" spans="1:16">
      <c r="D11" s="55" t="s">
        <v>440</v>
      </c>
      <c r="H11" s="55" t="s">
        <v>441</v>
      </c>
      <c r="I11" s="55">
        <v>4300</v>
      </c>
      <c r="J11" s="53">
        <v>29.64</v>
      </c>
      <c r="K11" s="94">
        <v>2187</v>
      </c>
      <c r="L11" s="55">
        <v>3588.2</v>
      </c>
      <c r="M11" s="94">
        <v>38008</v>
      </c>
      <c r="N11" s="94">
        <v>6495</v>
      </c>
      <c r="O11" s="94">
        <v>4602</v>
      </c>
      <c r="P11" s="95">
        <v>0.26</v>
      </c>
    </row>
    <row r="12" s="68" customFormat="1" ht="15" customHeight="1" spans="1:16">
      <c r="D12" s="55" t="s">
        <v>442</v>
      </c>
      <c r="H12" s="55" t="s">
        <v>443</v>
      </c>
      <c r="I12" s="55">
        <v>1536</v>
      </c>
      <c r="J12" s="53">
        <v>97.93</v>
      </c>
      <c r="K12" s="94">
        <v>2025</v>
      </c>
      <c r="L12" s="55">
        <v>4542.2</v>
      </c>
      <c r="M12" s="94">
        <v>52988</v>
      </c>
      <c r="N12" s="94">
        <v>6964</v>
      </c>
      <c r="O12" s="94">
        <v>4253</v>
      </c>
      <c r="P12" s="95">
        <v>0.25</v>
      </c>
    </row>
    <row r="13" s="68" customFormat="1" ht="15" customHeight="1" spans="1:16">
      <c r="D13" s="55" t="s">
        <v>444</v>
      </c>
      <c r="H13" s="55" t="s">
        <v>445</v>
      </c>
      <c r="I13" s="55">
        <v>5418</v>
      </c>
      <c r="J13" s="53">
        <v>15.64</v>
      </c>
      <c r="K13" s="94">
        <v>311</v>
      </c>
      <c r="L13" s="55">
        <v>1025.47</v>
      </c>
      <c r="M13" s="94">
        <v>11939</v>
      </c>
      <c r="N13" s="94">
        <v>2058</v>
      </c>
      <c r="O13" s="94">
        <v>1400</v>
      </c>
      <c r="P13" s="95">
        <v>0.23</v>
      </c>
    </row>
    <row r="14" s="68" customFormat="1" ht="15" customHeight="1" spans="1:16">
      <c r="D14" s="96"/>
      <c r="H14" s="96"/>
      <c r="I14" s="97"/>
      <c r="J14" s="98"/>
      <c r="K14" s="98"/>
      <c r="L14" s="98"/>
      <c r="M14" s="98"/>
      <c r="N14" s="98"/>
      <c r="O14" s="98"/>
      <c r="P14" s="99"/>
    </row>
    <row r="15" s="68" customFormat="1" ht="15" customHeight="1" spans="1:16">
      <c r="D15" s="55"/>
      <c r="H15" s="55"/>
      <c r="I15" s="55"/>
      <c r="J15" s="53"/>
      <c r="K15" s="94"/>
      <c r="L15" s="55"/>
      <c r="M15" s="94"/>
      <c r="N15" s="94"/>
      <c r="O15" s="94"/>
      <c r="P15" s="95"/>
    </row>
    <row r="16" ht="15" customHeight="1" spans="1:16">
      <c r="B16" s="100" t="s">
        <v>446</v>
      </c>
      <c r="C16" s="55"/>
      <c r="D16" s="55"/>
      <c r="J16" s="96"/>
      <c r="L16" s="101"/>
    </row>
    <row r="17" ht="15" customHeight="1" spans="1:16">
      <c r="J17" s="96"/>
      <c r="L17" s="70"/>
      <c r="M17" s="70"/>
      <c r="O17" s="70"/>
      <c r="P17" s="70"/>
    </row>
    <row r="18" ht="15" customHeight="1" spans="1:16">
      <c r="I18" s="96"/>
      <c r="J18" s="96"/>
      <c r="K18" s="102"/>
      <c r="M18" s="103"/>
    </row>
    <row r="19" ht="14.25" customHeight="1" spans="1:16">
      <c r="A19" s="104"/>
      <c r="B19" s="104"/>
      <c r="C19" s="105"/>
      <c r="D19" s="106"/>
      <c r="E19" s="104"/>
      <c r="F19" s="104"/>
      <c r="G19" s="104"/>
      <c r="H19" s="107"/>
      <c r="I19" s="108"/>
      <c r="J19" s="108"/>
      <c r="K19" s="108"/>
      <c r="L19" s="108"/>
      <c r="M19" s="108"/>
      <c r="N19" s="109"/>
      <c r="O19" s="108"/>
      <c r="P19" s="108"/>
    </row>
    <row r="20" ht="15" customHeight="1" spans="1:16">
      <c r="A20" s="104"/>
      <c r="B20" s="104"/>
      <c r="C20" s="105"/>
      <c r="D20" s="110"/>
      <c r="E20" s="111"/>
      <c r="F20" s="111"/>
      <c r="G20" s="111"/>
      <c r="H20" s="110"/>
      <c r="I20" s="112"/>
      <c r="J20" s="113"/>
      <c r="K20" s="113"/>
      <c r="L20" s="113"/>
      <c r="M20" s="113"/>
      <c r="N20" s="113"/>
      <c r="O20" s="113"/>
      <c r="P20" s="114"/>
    </row>
    <row r="21" ht="15" customHeight="1" spans="1:16">
      <c r="A21" s="104"/>
      <c r="B21" s="104"/>
      <c r="C21" s="105"/>
      <c r="D21" s="115"/>
      <c r="E21" s="111"/>
      <c r="F21" s="111"/>
      <c r="G21" s="111"/>
      <c r="H21" s="115"/>
      <c r="I21" s="112"/>
      <c r="J21" s="116"/>
      <c r="K21" s="116"/>
      <c r="L21" s="116"/>
      <c r="M21" s="116"/>
      <c r="N21" s="116"/>
      <c r="O21" s="116"/>
      <c r="P21" s="114"/>
    </row>
    <row r="22" ht="15" customHeight="1" spans="1:16">
      <c r="A22" s="104"/>
      <c r="B22" s="104"/>
      <c r="C22" s="105"/>
      <c r="D22" s="110"/>
      <c r="E22" s="111"/>
      <c r="F22" s="111"/>
      <c r="G22" s="111"/>
      <c r="H22" s="115"/>
      <c r="I22" s="112"/>
      <c r="J22" s="113"/>
      <c r="K22" s="113"/>
      <c r="L22" s="113"/>
      <c r="M22" s="113"/>
      <c r="N22" s="113"/>
      <c r="O22" s="113"/>
      <c r="P22" s="114"/>
    </row>
    <row r="23" ht="15" customHeight="1" spans="1:16">
      <c r="A23" s="104"/>
      <c r="B23" s="104"/>
      <c r="C23" s="105"/>
      <c r="D23" s="110"/>
      <c r="E23" s="111"/>
      <c r="F23" s="111"/>
      <c r="G23" s="111"/>
      <c r="H23" s="110"/>
      <c r="I23" s="112"/>
      <c r="J23" s="113"/>
      <c r="K23" s="113"/>
      <c r="L23" s="113"/>
      <c r="M23" s="113"/>
      <c r="N23" s="113"/>
      <c r="O23" s="113"/>
      <c r="P23" s="114"/>
    </row>
    <row r="24" ht="15" customHeight="1" spans="1:16">
      <c r="A24" s="104"/>
      <c r="B24" s="104"/>
      <c r="C24" s="105"/>
      <c r="D24" s="110"/>
      <c r="E24" s="111"/>
      <c r="F24" s="111"/>
      <c r="G24" s="111"/>
      <c r="H24" s="110"/>
      <c r="I24" s="112"/>
      <c r="J24" s="113"/>
      <c r="K24" s="113"/>
      <c r="L24" s="113"/>
      <c r="M24" s="113"/>
      <c r="N24" s="113"/>
      <c r="O24" s="113"/>
      <c r="P24" s="114"/>
    </row>
    <row r="25" ht="15" customHeight="1" spans="1:16">
      <c r="A25" s="104"/>
      <c r="B25" s="104"/>
      <c r="C25" s="105"/>
      <c r="D25" s="110"/>
      <c r="E25" s="111"/>
      <c r="F25" s="111"/>
      <c r="G25" s="111"/>
      <c r="H25" s="110"/>
      <c r="I25" s="112"/>
      <c r="J25" s="113"/>
      <c r="K25" s="113"/>
      <c r="L25" s="113"/>
      <c r="M25" s="113"/>
      <c r="N25" s="113"/>
      <c r="O25" s="113"/>
      <c r="P25" s="114"/>
    </row>
    <row r="26" ht="15" customHeight="1" spans="1:16">
      <c r="A26" s="104"/>
      <c r="B26" s="104"/>
      <c r="C26" s="105"/>
      <c r="D26" s="110"/>
      <c r="E26" s="111"/>
      <c r="F26" s="111"/>
      <c r="G26" s="111"/>
      <c r="H26" s="110"/>
      <c r="I26" s="112"/>
      <c r="J26" s="113"/>
      <c r="K26" s="113"/>
      <c r="L26" s="113"/>
      <c r="M26" s="113"/>
      <c r="N26" s="113"/>
      <c r="O26" s="113"/>
      <c r="P26" s="114"/>
    </row>
    <row r="27" ht="15" customHeight="1" spans="1:16">
      <c r="A27" s="104"/>
      <c r="B27" s="104"/>
      <c r="C27" s="105"/>
      <c r="D27" s="110"/>
      <c r="E27" s="111"/>
      <c r="F27" s="111"/>
      <c r="G27" s="111"/>
      <c r="H27" s="110"/>
      <c r="I27" s="112"/>
      <c r="J27" s="113"/>
      <c r="K27" s="113"/>
      <c r="L27" s="113"/>
      <c r="M27" s="113"/>
      <c r="N27" s="113"/>
      <c r="O27" s="113"/>
      <c r="P27" s="114"/>
    </row>
    <row r="28" ht="15" customHeight="1" spans="1:16">
      <c r="A28" s="104"/>
      <c r="B28" s="104"/>
      <c r="C28" s="105"/>
      <c r="D28" s="110"/>
      <c r="E28" s="111"/>
      <c r="F28" s="111"/>
      <c r="G28" s="111"/>
      <c r="H28" s="110"/>
      <c r="I28" s="112"/>
      <c r="J28" s="113"/>
      <c r="K28" s="113"/>
      <c r="L28" s="113"/>
      <c r="M28" s="113"/>
      <c r="N28" s="113"/>
      <c r="O28" s="113"/>
      <c r="P28" s="114"/>
    </row>
  </sheetData>
  <mergeCells count="1">
    <mergeCell ref="D1:F3"/>
  </mergeCells>
  <pageMargins left="0.7" right="0.7" top="0.75" bottom="0.75" header="0.511811023622047" footer="0.511811023622047"/>
  <pageSetup paperSize="9" orientation="portrait" horizontalDpi="300" verticalDpi="300"/>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3:Q28"/>
  <sheetViews>
    <sheetView showGridLines="0" zoomScale="76" zoomScaleNormal="76" workbookViewId="0">
      <selection activeCell="N25" sqref="N25"/>
    </sheetView>
  </sheetViews>
  <sheetFormatPr defaultColWidth="8.83333333333333" defaultRowHeight="13.8"/>
  <cols>
    <col min="1" max="1" width="6.33333333333333" style="3" customWidth="1"/>
    <col min="2" max="2" width="20" style="3" customWidth="1"/>
    <col min="3" max="3" width="15.1666666666667" style="3" customWidth="1"/>
    <col min="4" max="4" width="11.3333333333333" style="3" customWidth="1"/>
    <col min="5" max="5" width="14" style="3" customWidth="1"/>
    <col min="6" max="6" width="14.5555555555556" style="3" customWidth="1"/>
    <col min="7" max="7" width="11.3333333333333" style="3" customWidth="1"/>
    <col min="8" max="8" width="12.8333333333333" style="3" customWidth="1"/>
    <col min="9" max="9" width="14.5555555555556" style="3" customWidth="1"/>
    <col min="10" max="11" width="11.3333333333333" style="3" customWidth="1"/>
    <col min="12" max="16" width="12.1666666666667" style="3" customWidth="1"/>
    <col min="17" max="17" width="13.1666666666667" style="3" customWidth="1"/>
    <col min="18" max="16384" width="8.83333333333333" style="3"/>
  </cols>
  <sheetData>
    <row r="3" ht="13.5" customHeight="1" spans="2:17">
      <c r="B3" s="4" t="s">
        <v>21</v>
      </c>
      <c r="C3" s="4"/>
      <c r="D3" s="4"/>
    </row>
    <row r="4" ht="13.5" customHeight="1" spans="2:17">
      <c r="B4" s="4"/>
      <c r="C4" s="4"/>
      <c r="D4" s="4"/>
    </row>
    <row r="5" ht="13.5" customHeight="1" spans="2:17">
      <c r="B5" s="4"/>
      <c r="C5" s="4"/>
      <c r="D5" s="4"/>
    </row>
    <row r="6" ht="13.5" customHeight="1" spans="2:17">
      <c r="P6" s="39" t="s">
        <v>83</v>
      </c>
      <c r="Q6" s="39"/>
    </row>
    <row r="7" ht="15" customHeight="1" spans="2:17">
      <c r="B7" s="40" t="s">
        <v>447</v>
      </c>
      <c r="C7" s="40"/>
      <c r="D7" s="40"/>
      <c r="E7" s="40"/>
      <c r="F7" s="40"/>
      <c r="G7" s="40"/>
      <c r="H7" s="40"/>
      <c r="I7" s="40"/>
      <c r="J7" s="40"/>
      <c r="K7" s="40"/>
      <c r="L7" s="40"/>
      <c r="M7" s="40"/>
      <c r="N7" s="40"/>
      <c r="O7" s="40"/>
      <c r="P7" s="40"/>
      <c r="Q7" s="40"/>
    </row>
    <row r="8" ht="15.75" customHeight="1" spans="2:17">
      <c r="B8" s="41"/>
      <c r="C8" s="41"/>
      <c r="D8" s="42" t="s">
        <v>5</v>
      </c>
      <c r="E8" s="42"/>
      <c r="F8" s="42"/>
      <c r="G8" s="42"/>
      <c r="H8" s="42"/>
      <c r="I8" s="42"/>
      <c r="J8" s="43"/>
      <c r="K8" s="44" t="s">
        <v>448</v>
      </c>
      <c r="L8" s="44"/>
      <c r="M8" s="44"/>
      <c r="N8" s="43"/>
      <c r="O8" s="44" t="s">
        <v>449</v>
      </c>
      <c r="P8" s="44"/>
      <c r="Q8" s="44"/>
    </row>
    <row r="9" ht="13.5" customHeight="1" spans="2:17">
      <c r="B9" s="45" t="s">
        <v>450</v>
      </c>
      <c r="C9" s="46" t="s">
        <v>425</v>
      </c>
      <c r="D9" s="47" t="s">
        <v>451</v>
      </c>
      <c r="E9" s="48" t="s">
        <v>427</v>
      </c>
      <c r="F9" s="48" t="s">
        <v>452</v>
      </c>
      <c r="G9" s="48" t="s">
        <v>428</v>
      </c>
      <c r="H9" s="48" t="s">
        <v>429</v>
      </c>
      <c r="I9" s="48" t="s">
        <v>453</v>
      </c>
      <c r="J9" s="2"/>
      <c r="K9" s="48" t="s">
        <v>430</v>
      </c>
      <c r="L9" s="48" t="s">
        <v>97</v>
      </c>
      <c r="M9" s="48" t="s">
        <v>454</v>
      </c>
      <c r="N9" s="2"/>
      <c r="O9" s="48" t="s">
        <v>455</v>
      </c>
      <c r="P9" s="48" t="s">
        <v>456</v>
      </c>
      <c r="Q9" s="48" t="s">
        <v>457</v>
      </c>
    </row>
    <row r="10" ht="13.5" customHeight="1" spans="2:17">
      <c r="B10" s="45"/>
      <c r="C10" s="45"/>
      <c r="D10" s="45"/>
      <c r="E10" s="49" t="s">
        <v>458</v>
      </c>
      <c r="F10" s="49" t="s">
        <v>459</v>
      </c>
      <c r="G10" s="49" t="s">
        <v>459</v>
      </c>
      <c r="H10" s="48" t="s">
        <v>460</v>
      </c>
      <c r="I10" s="49" t="s">
        <v>459</v>
      </c>
      <c r="J10" s="50"/>
      <c r="K10" s="49" t="s">
        <v>459</v>
      </c>
      <c r="L10" s="49" t="s">
        <v>459</v>
      </c>
      <c r="M10" s="49" t="s">
        <v>459</v>
      </c>
      <c r="N10" s="50"/>
      <c r="O10" s="49" t="s">
        <v>461</v>
      </c>
      <c r="P10" s="49" t="s">
        <v>461</v>
      </c>
      <c r="Q10" s="49" t="s">
        <v>461</v>
      </c>
    </row>
    <row r="11" ht="15" customHeight="1" spans="2:17">
      <c r="B11" s="3" t="str">
        <f>'Comps Data'!D8</f>
        <v>TCS</v>
      </c>
      <c r="C11" s="51" t="str">
        <f>'Comps Data'!H8</f>
        <v>TCS</v>
      </c>
      <c r="D11" s="52">
        <f>'Comps Data'!I8</f>
        <v>2104.2</v>
      </c>
      <c r="E11" s="53">
        <f>'Comps Data'!J8</f>
        <v>361.81</v>
      </c>
      <c r="F11" s="54">
        <f t="shared" ref="F11:F16" si="0">PRODUCT(D11:E11)</f>
        <v>761320.602</v>
      </c>
      <c r="G11" s="55">
        <f>'Comps Data'!K8</f>
        <v>9392</v>
      </c>
      <c r="H11" s="55">
        <f>'Comps Data'!L8</f>
        <v>15463</v>
      </c>
      <c r="I11" s="54">
        <f t="shared" ref="I11:I16" si="1">SUM(F11:G11)-H11</f>
        <v>755249.602</v>
      </c>
      <c r="K11" s="55">
        <f>'Comps Data'!M8</f>
        <v>255324</v>
      </c>
      <c r="L11" s="55">
        <f>'Comps Data'!N8</f>
        <v>67407</v>
      </c>
      <c r="M11" s="55">
        <f>'Comps Data'!O8</f>
        <v>48797</v>
      </c>
      <c r="O11" s="56">
        <f t="shared" ref="O11:O16" si="2">I11/K11</f>
        <v>2.95800473907662</v>
      </c>
      <c r="P11" s="56">
        <f t="shared" ref="P11:P16" si="3">I11/L11</f>
        <v>11.2043200557806</v>
      </c>
      <c r="Q11" s="56">
        <f t="shared" ref="Q11:Q16" si="4">F11/M11</f>
        <v>15.6017911347009</v>
      </c>
    </row>
    <row r="12" ht="15" customHeight="1" spans="2:17">
      <c r="B12" s="3" t="str">
        <f>'Comps Data'!D9</f>
        <v>HCL Tech</v>
      </c>
      <c r="C12" s="51" t="str">
        <f>'Comps Data'!H9</f>
        <v>HCLTECH</v>
      </c>
      <c r="D12" s="52">
        <f>'Comps Data'!I9</f>
        <v>1240</v>
      </c>
      <c r="E12" s="53">
        <f>'Comps Data'!J9</f>
        <v>271.37</v>
      </c>
      <c r="F12" s="54">
        <f t="shared" si="0"/>
        <v>336498.8</v>
      </c>
      <c r="G12" s="55">
        <f>'Comps Data'!K9</f>
        <v>6276</v>
      </c>
      <c r="H12" s="55">
        <f>'Comps Data'!L9</f>
        <v>21289</v>
      </c>
      <c r="I12" s="54">
        <f t="shared" si="1"/>
        <v>321485.8</v>
      </c>
      <c r="J12" s="14"/>
      <c r="K12" s="55">
        <f>'Comps Data'!M9</f>
        <v>117055</v>
      </c>
      <c r="L12" s="55">
        <f>'Comps Data'!N9</f>
        <v>25504</v>
      </c>
      <c r="M12" s="55">
        <f>'Comps Data'!O9</f>
        <v>17399</v>
      </c>
      <c r="N12" s="14"/>
      <c r="O12" s="56">
        <f t="shared" si="2"/>
        <v>2.74645081372005</v>
      </c>
      <c r="P12" s="56">
        <f t="shared" si="3"/>
        <v>12.6053089711418</v>
      </c>
      <c r="Q12" s="56">
        <f t="shared" si="4"/>
        <v>19.3401229955745</v>
      </c>
    </row>
    <row r="13" ht="15" customHeight="1" spans="2:17">
      <c r="B13" s="3" t="str">
        <f>'Comps Data'!D10</f>
        <v>Wipro</v>
      </c>
      <c r="C13" s="51" t="str">
        <f>'Comps Data'!H10</f>
        <v>WIPRO</v>
      </c>
      <c r="D13" s="52">
        <f>'Comps Data'!I10</f>
        <v>164</v>
      </c>
      <c r="E13" s="53">
        <f>'Comps Data'!J10</f>
        <v>1048.33</v>
      </c>
      <c r="F13" s="54">
        <f t="shared" si="0"/>
        <v>171926.12</v>
      </c>
      <c r="G13" s="55">
        <f>'Comps Data'!K10</f>
        <v>19204</v>
      </c>
      <c r="H13" s="55">
        <f>'Comps Data'!L10</f>
        <v>12197</v>
      </c>
      <c r="I13" s="54">
        <f t="shared" si="1"/>
        <v>178933.12</v>
      </c>
      <c r="J13" s="14"/>
      <c r="K13" s="55">
        <f>'Comps Data'!M10</f>
        <v>89088</v>
      </c>
      <c r="L13" s="55">
        <f>'Comps Data'!N10</f>
        <v>18021</v>
      </c>
      <c r="M13" s="55">
        <f>'Comps Data'!O10</f>
        <v>13218</v>
      </c>
      <c r="N13" s="14"/>
      <c r="O13" s="56">
        <f t="shared" si="2"/>
        <v>2.00849856321839</v>
      </c>
      <c r="P13" s="56">
        <f t="shared" si="3"/>
        <v>9.92914488652128</v>
      </c>
      <c r="Q13" s="56">
        <f t="shared" si="4"/>
        <v>13.0069692843093</v>
      </c>
    </row>
    <row r="14" ht="15" customHeight="1" spans="2:17">
      <c r="B14" s="3" t="str">
        <f>'Comps Data'!D11</f>
        <v>LTIMindtree</v>
      </c>
      <c r="C14" s="51" t="str">
        <f>'Comps Data'!H11</f>
        <v>LTIM</v>
      </c>
      <c r="D14" s="52">
        <f>'Comps Data'!I11</f>
        <v>4300</v>
      </c>
      <c r="E14" s="53">
        <f>'Comps Data'!J11</f>
        <v>29.64</v>
      </c>
      <c r="F14" s="54">
        <f t="shared" si="0"/>
        <v>127452</v>
      </c>
      <c r="G14" s="55">
        <f>'Comps Data'!K11</f>
        <v>2187</v>
      </c>
      <c r="H14" s="55">
        <f>'Comps Data'!L11</f>
        <v>3588.2</v>
      </c>
      <c r="I14" s="54">
        <f t="shared" si="1"/>
        <v>126050.8</v>
      </c>
      <c r="K14" s="55">
        <f>'Comps Data'!M11</f>
        <v>38008</v>
      </c>
      <c r="L14" s="55">
        <f>'Comps Data'!N11</f>
        <v>6495</v>
      </c>
      <c r="M14" s="55">
        <f>'Comps Data'!O11</f>
        <v>4602</v>
      </c>
      <c r="O14" s="56">
        <f t="shared" si="2"/>
        <v>3.31642812039571</v>
      </c>
      <c r="P14" s="56">
        <f t="shared" si="3"/>
        <v>19.4073595073133</v>
      </c>
      <c r="Q14" s="56">
        <f t="shared" si="4"/>
        <v>27.6949152542373</v>
      </c>
    </row>
    <row r="15" s="1" customFormat="1" ht="15" customHeight="1" spans="2:17">
      <c r="B15" s="3" t="str">
        <f>'Comps Data'!D12</f>
        <v>Tech Mahindra</v>
      </c>
      <c r="C15" s="51" t="str">
        <f>'Comps Data'!H12</f>
        <v>TECHM</v>
      </c>
      <c r="D15" s="52">
        <f>'Comps Data'!I12</f>
        <v>1536</v>
      </c>
      <c r="E15" s="53">
        <f>'Comps Data'!J12</f>
        <v>97.93</v>
      </c>
      <c r="F15" s="54">
        <f t="shared" si="0"/>
        <v>150420.48</v>
      </c>
      <c r="G15" s="55">
        <f>'Comps Data'!K12</f>
        <v>2025</v>
      </c>
      <c r="H15" s="55">
        <f>'Comps Data'!L12</f>
        <v>4542.2</v>
      </c>
      <c r="I15" s="54">
        <f t="shared" si="1"/>
        <v>147903.28</v>
      </c>
      <c r="J15" s="57"/>
      <c r="K15" s="55">
        <f>'Comps Data'!M12</f>
        <v>52988</v>
      </c>
      <c r="L15" s="55">
        <f>'Comps Data'!N12</f>
        <v>6964</v>
      </c>
      <c r="M15" s="55">
        <f>'Comps Data'!O12</f>
        <v>4253</v>
      </c>
      <c r="N15" s="57"/>
      <c r="O15" s="56">
        <f t="shared" si="2"/>
        <v>2.79125990790368</v>
      </c>
      <c r="P15" s="56">
        <f t="shared" si="3"/>
        <v>21.2382653647329</v>
      </c>
      <c r="Q15" s="56">
        <f t="shared" si="4"/>
        <v>35.3680884081825</v>
      </c>
    </row>
    <row r="16" s="23" customFormat="1" ht="15" customHeight="1" spans="2:17">
      <c r="B16" s="23" t="str">
        <f>'Comps Data'!D13</f>
        <v>Persistent Systems</v>
      </c>
      <c r="C16" s="51" t="str">
        <f>'Comps Data'!H13</f>
        <v>PERSISTENT</v>
      </c>
      <c r="D16" s="52">
        <f>'Comps Data'!I13</f>
        <v>5418</v>
      </c>
      <c r="E16" s="53">
        <f>'Comps Data'!J13</f>
        <v>15.64</v>
      </c>
      <c r="F16" s="54">
        <f t="shared" si="0"/>
        <v>84737.52</v>
      </c>
      <c r="G16" s="55">
        <f>'Comps Data'!K13</f>
        <v>311</v>
      </c>
      <c r="H16" s="55">
        <f>'Comps Data'!L13</f>
        <v>1025.47</v>
      </c>
      <c r="I16" s="54">
        <f t="shared" si="1"/>
        <v>84023.05</v>
      </c>
      <c r="K16" s="55">
        <f>'Comps Data'!M13</f>
        <v>11939</v>
      </c>
      <c r="L16" s="55">
        <f>'Comps Data'!N13</f>
        <v>2058</v>
      </c>
      <c r="M16" s="55">
        <f>'Comps Data'!O13</f>
        <v>1400</v>
      </c>
      <c r="O16" s="56">
        <f t="shared" si="2"/>
        <v>7.03769578691683</v>
      </c>
      <c r="P16" s="56">
        <f t="shared" si="3"/>
        <v>40.8275267249757</v>
      </c>
      <c r="Q16" s="56">
        <f t="shared" si="4"/>
        <v>60.5268</v>
      </c>
    </row>
    <row r="17" ht="15" customHeight="1" spans="2:17">
      <c r="O17" s="56"/>
      <c r="P17" s="56"/>
      <c r="Q17" s="56"/>
    </row>
    <row r="18" ht="15" customHeight="1" spans="2:17">
      <c r="C18" s="14"/>
      <c r="D18" s="14"/>
      <c r="E18" s="14"/>
      <c r="F18" s="14"/>
      <c r="G18" s="58"/>
      <c r="H18" s="58"/>
      <c r="I18" s="58"/>
      <c r="J18" s="58"/>
      <c r="K18" s="58"/>
      <c r="L18" s="58"/>
      <c r="M18" s="58"/>
      <c r="N18" s="58"/>
      <c r="O18" s="56"/>
      <c r="P18" s="56"/>
      <c r="Q18" s="56"/>
    </row>
    <row r="19" ht="15" customHeight="1" spans="2:17">
      <c r="B19" s="59" t="s">
        <v>462</v>
      </c>
      <c r="C19" s="41"/>
      <c r="D19" s="41"/>
      <c r="E19" s="41"/>
      <c r="F19" s="41"/>
      <c r="G19" s="41"/>
      <c r="H19" s="41"/>
      <c r="I19" s="41"/>
      <c r="J19" s="41"/>
      <c r="K19" s="41"/>
      <c r="L19" s="41"/>
      <c r="M19" s="41"/>
      <c r="N19" s="41"/>
      <c r="O19" s="60">
        <f>AVERAGE(O11:O18)</f>
        <v>3.47638965520521</v>
      </c>
      <c r="P19" s="60">
        <f>AVERAGE(P11:P18)</f>
        <v>19.2019875850776</v>
      </c>
      <c r="Q19" s="60">
        <f>AVERAGE(Q11:Q18)</f>
        <v>28.5897811795007</v>
      </c>
    </row>
    <row r="20" ht="15" customHeight="1" spans="2:17">
      <c r="B20" s="59" t="s">
        <v>463</v>
      </c>
      <c r="C20" s="41"/>
      <c r="D20" s="41"/>
      <c r="E20" s="41"/>
      <c r="F20" s="41"/>
      <c r="G20" s="41"/>
      <c r="H20" s="41"/>
      <c r="I20" s="41"/>
      <c r="J20" s="41"/>
      <c r="K20" s="41"/>
      <c r="L20" s="41"/>
      <c r="M20" s="41"/>
      <c r="N20" s="41"/>
      <c r="O20" s="60">
        <f>MEDIAN(O11:O18)</f>
        <v>2.87463232349015</v>
      </c>
      <c r="P20" s="60">
        <f>MEDIAN(P11:P18)</f>
        <v>16.0063342392275</v>
      </c>
      <c r="Q20" s="60">
        <f>MEDIAN(Q11:Q18)</f>
        <v>23.5175191249059</v>
      </c>
    </row>
    <row r="22" s="1" customFormat="1" ht="15" customHeight="1" spans="2:17">
      <c r="B22" s="3" t="str">
        <f>'Comps Data'!D6</f>
        <v>Infosys</v>
      </c>
      <c r="C22" s="51" t="str">
        <f>'Comps Data'!H6</f>
        <v>INFOSYS</v>
      </c>
      <c r="D22" s="52">
        <f>'Comps Data'!I6</f>
        <v>1161.2</v>
      </c>
      <c r="E22" s="53">
        <f>'Comps Data'!J6</f>
        <v>4200</v>
      </c>
      <c r="F22" s="54">
        <f>PRODUCT(D22:E22)</f>
        <v>4877040</v>
      </c>
      <c r="G22" s="55">
        <f>'Comps Data'!K6</f>
        <v>8227</v>
      </c>
      <c r="H22" s="55">
        <f>'Comps Data'!L6</f>
        <v>24455</v>
      </c>
      <c r="I22" s="54">
        <f>SUM(F22:G22)-H22</f>
        <v>4860812</v>
      </c>
      <c r="J22" s="23"/>
      <c r="K22" s="55">
        <f>'Comps Data'!M6</f>
        <v>162990</v>
      </c>
      <c r="L22" s="55">
        <f>'Comps Data'!N6</f>
        <v>39236</v>
      </c>
      <c r="M22" s="55">
        <f>'Comps Data'!O6</f>
        <v>26750</v>
      </c>
      <c r="N22" s="57"/>
      <c r="O22" s="56">
        <f>I22/K22</f>
        <v>29.8227621326462</v>
      </c>
      <c r="P22" s="56">
        <f>I22/L22</f>
        <v>123.886532776022</v>
      </c>
      <c r="Q22" s="56">
        <f>F22/M22</f>
        <v>182.319252336449</v>
      </c>
    </row>
    <row r="24" ht="15" customHeight="1" spans="2:17">
      <c r="B24" s="59" t="s">
        <v>464</v>
      </c>
      <c r="C24" s="61" t="s">
        <v>386</v>
      </c>
      <c r="D24" s="59"/>
      <c r="E24" s="59"/>
      <c r="F24" s="41" t="s">
        <v>453</v>
      </c>
      <c r="G24" s="41" t="s">
        <v>465</v>
      </c>
      <c r="H24" s="61" t="s">
        <v>466</v>
      </c>
      <c r="I24" s="41" t="s">
        <v>427</v>
      </c>
      <c r="J24" s="61" t="s">
        <v>467</v>
      </c>
      <c r="K24" s="61"/>
      <c r="L24" s="14"/>
      <c r="M24" s="14"/>
      <c r="N24" s="14"/>
      <c r="O24" s="14"/>
      <c r="P24" s="14"/>
      <c r="Q24" s="14"/>
    </row>
    <row r="25" ht="15" customHeight="1" spans="2:17">
      <c r="B25" s="62"/>
      <c r="C25" s="63"/>
      <c r="D25" s="63"/>
      <c r="E25" s="63"/>
      <c r="F25" s="63"/>
      <c r="G25" s="63"/>
      <c r="H25" s="63"/>
      <c r="I25" s="63"/>
      <c r="J25" s="63"/>
      <c r="K25" s="14"/>
      <c r="L25" s="14"/>
      <c r="M25" s="14"/>
      <c r="N25" s="14"/>
      <c r="O25" s="14"/>
      <c r="P25" s="14"/>
      <c r="Q25" s="14"/>
    </row>
    <row r="26" ht="13.5" customHeight="1" spans="2:17">
      <c r="B26" s="3" t="s">
        <v>468</v>
      </c>
      <c r="C26" s="64">
        <f>O20</f>
        <v>2.87463232349015</v>
      </c>
      <c r="F26" s="65">
        <f>C26*K22</f>
        <v>468536.32240566</v>
      </c>
      <c r="G26" s="52">
        <f>$G$22-$H$22</f>
        <v>-16228</v>
      </c>
      <c r="H26" s="65">
        <f>F26-G26</f>
        <v>484764.32240566</v>
      </c>
      <c r="I26" s="66">
        <f>$E$22</f>
        <v>4200</v>
      </c>
      <c r="J26" s="65">
        <f>H26/I26</f>
        <v>115.420076763252</v>
      </c>
      <c r="K26" s="65"/>
      <c r="L26" s="14"/>
      <c r="M26" s="14"/>
      <c r="N26" s="14"/>
      <c r="O26" s="14"/>
      <c r="P26" s="14"/>
      <c r="Q26" s="14"/>
    </row>
    <row r="27" ht="13.5" customHeight="1" spans="2:17">
      <c r="B27" s="3" t="s">
        <v>456</v>
      </c>
      <c r="C27" s="64">
        <f>P20</f>
        <v>16.0063342392275</v>
      </c>
      <c r="F27" s="65">
        <f>C27*L22</f>
        <v>628024.530210332</v>
      </c>
      <c r="G27" s="52">
        <f>$G$22-$H$22</f>
        <v>-16228</v>
      </c>
      <c r="H27" s="65">
        <f>F27-G27</f>
        <v>644252.530210332</v>
      </c>
      <c r="I27" s="66">
        <f>$E$22</f>
        <v>4200</v>
      </c>
      <c r="J27" s="65">
        <f>H27/I27</f>
        <v>153.393459573889</v>
      </c>
      <c r="K27" s="65"/>
      <c r="L27" s="14"/>
      <c r="M27" s="14"/>
      <c r="N27" s="14"/>
      <c r="O27" s="14"/>
      <c r="P27" s="14"/>
      <c r="Q27" s="14"/>
    </row>
    <row r="28" ht="13.5" customHeight="1" spans="2:17">
      <c r="B28" s="3" t="s">
        <v>457</v>
      </c>
      <c r="C28" s="64">
        <f>Q20</f>
        <v>23.5175191249059</v>
      </c>
      <c r="F28" s="65">
        <f>H28+G28</f>
        <v>612865.636591232</v>
      </c>
      <c r="G28" s="52">
        <f>$G$22-$H$22</f>
        <v>-16228</v>
      </c>
      <c r="H28" s="65">
        <f>C28*M22</f>
        <v>629093.636591232</v>
      </c>
      <c r="I28" s="66">
        <f>$E$22</f>
        <v>4200</v>
      </c>
      <c r="J28" s="65">
        <f>H28/I28</f>
        <v>149.784199188389</v>
      </c>
      <c r="K28" s="65"/>
    </row>
  </sheetData>
  <mergeCells count="9">
    <mergeCell ref="P6:Q6"/>
    <mergeCell ref="B7:Q7"/>
    <mergeCell ref="D8:I8"/>
    <mergeCell ref="K8:M8"/>
    <mergeCell ref="O8:Q8"/>
    <mergeCell ref="B9:B10"/>
    <mergeCell ref="C9:C10"/>
    <mergeCell ref="D9:D10"/>
    <mergeCell ref="B3:D5"/>
  </mergeCells>
  <pageMargins left="0.7" right="0.7" top="0.75" bottom="0.75" header="0.511811023622047" footer="0.511811023622047"/>
  <pageSetup paperSize="9" orientation="portrait" horizontalDpi="300" verticalDpi="300"/>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3:R62"/>
  <sheetViews>
    <sheetView showGridLines="0" zoomScale="67" zoomScaleNormal="67" workbookViewId="0">
      <selection activeCell="G23" sqref="G23"/>
    </sheetView>
  </sheetViews>
  <sheetFormatPr defaultColWidth="8.83333333333333" defaultRowHeight="13.8"/>
  <cols>
    <col min="1" max="1" width="5.16666666666667" style="3" customWidth="1"/>
    <col min="2" max="2" width="36.8333333333333" style="3" customWidth="1"/>
    <col min="3" max="3" width="14.5185185185185" style="3" customWidth="1"/>
    <col min="4" max="5" width="13.1666666666667" style="3" customWidth="1"/>
    <col min="6" max="6" width="14.5185185185185" style="3" customWidth="1"/>
    <col min="7" max="7" width="12.8333333333333" style="3" customWidth="1"/>
    <col min="8" max="8" width="13.1666666666667" style="3" customWidth="1"/>
    <col min="9" max="9" width="12.1666666666667" style="3" customWidth="1"/>
    <col min="10" max="16" width="13.1666666666667" style="3" customWidth="1"/>
    <col min="17" max="17" width="12" style="3" customWidth="1"/>
    <col min="18" max="16384" width="8.83333333333333" style="3"/>
  </cols>
  <sheetData>
    <row r="3" ht="13.5" customHeight="1" spans="2:18">
      <c r="B3" s="4" t="s">
        <v>21</v>
      </c>
      <c r="C3" s="4"/>
      <c r="D3" s="4"/>
    </row>
    <row r="4" ht="13.5" customHeight="1" spans="2:18">
      <c r="B4" s="4"/>
      <c r="C4" s="4"/>
      <c r="D4" s="4"/>
    </row>
    <row r="5" ht="13.5" customHeight="1" spans="2:18">
      <c r="B5" s="4"/>
      <c r="C5" s="4"/>
      <c r="D5" s="4"/>
    </row>
    <row r="6" ht="13.5" customHeight="1" spans="2:18">
      <c r="K6" s="5"/>
      <c r="L6" s="5"/>
      <c r="P6" s="5" t="s">
        <v>83</v>
      </c>
      <c r="Q6" s="5"/>
      <c r="R6" s="6"/>
    </row>
    <row r="7" ht="15" customHeight="1" spans="2:18">
      <c r="B7" s="7" t="s">
        <v>469</v>
      </c>
      <c r="C7" s="7"/>
      <c r="D7" s="7"/>
      <c r="E7" s="7"/>
      <c r="F7" s="7"/>
      <c r="G7" s="7"/>
      <c r="H7" s="7"/>
      <c r="I7" s="7"/>
      <c r="J7" s="7"/>
      <c r="K7" s="7"/>
      <c r="L7" s="7"/>
      <c r="M7" s="7"/>
      <c r="N7" s="7"/>
      <c r="O7" s="7"/>
      <c r="P7" s="7"/>
      <c r="Q7" s="7"/>
    </row>
    <row r="8" ht="14.25" customHeight="1" spans="2:18">
      <c r="B8" s="8" t="s">
        <v>39</v>
      </c>
      <c r="C8" s="9">
        <f>'Standard Income Statement'!C8</f>
        <v>2022</v>
      </c>
      <c r="D8" s="9">
        <f>'Standard Income Statement'!D8</f>
        <v>2023</v>
      </c>
      <c r="E8" s="9">
        <f>'Standard Income Statement'!E8</f>
        <v>2024</v>
      </c>
      <c r="F8" s="9">
        <f>'Standard Income Statement'!F8</f>
        <v>2025</v>
      </c>
      <c r="G8" s="9">
        <f>'Standard Income Statement'!G8</f>
        <v>2026</v>
      </c>
      <c r="H8" s="10">
        <f>'Standard Income Statement'!H8</f>
        <v>2027</v>
      </c>
      <c r="I8" s="10">
        <f>'Standard Income Statement'!I8</f>
        <v>2028</v>
      </c>
      <c r="J8" s="10">
        <f>'Standard Income Statement'!J8</f>
        <v>2029</v>
      </c>
      <c r="K8" s="10">
        <f>'Standard Income Statement'!K8</f>
        <v>2030</v>
      </c>
      <c r="L8" s="10">
        <f>'Standard Income Statement'!L8</f>
        <v>2031</v>
      </c>
      <c r="M8" s="10">
        <f>'Standard Income Statement'!M8</f>
        <v>2032</v>
      </c>
      <c r="N8" s="10">
        <f>'Standard Income Statement'!N8</f>
        <v>2033</v>
      </c>
      <c r="O8" s="10">
        <f>'Standard Income Statement'!O8</f>
        <v>2034</v>
      </c>
      <c r="P8" s="10">
        <f>'Standard Income Statement'!P8</f>
        <v>2035</v>
      </c>
      <c r="Q8" s="10">
        <f>'Standard Income Statement'!Q8</f>
        <v>2036</v>
      </c>
    </row>
    <row r="9" ht="13.5" customHeight="1" spans="2:18">
      <c r="B9" s="8"/>
      <c r="C9" s="11" t="s">
        <v>84</v>
      </c>
      <c r="D9" s="11" t="s">
        <v>84</v>
      </c>
      <c r="E9" s="11" t="s">
        <v>84</v>
      </c>
      <c r="F9" s="11" t="s">
        <v>84</v>
      </c>
      <c r="G9" s="11" t="s">
        <v>84</v>
      </c>
      <c r="H9" s="12" t="s">
        <v>234</v>
      </c>
      <c r="I9" s="12" t="s">
        <v>235</v>
      </c>
      <c r="J9" s="12" t="s">
        <v>235</v>
      </c>
      <c r="K9" s="12" t="s">
        <v>235</v>
      </c>
      <c r="L9" s="12" t="s">
        <v>235</v>
      </c>
      <c r="M9" s="12" t="s">
        <v>235</v>
      </c>
      <c r="N9" s="12" t="s">
        <v>235</v>
      </c>
      <c r="O9" s="12" t="s">
        <v>235</v>
      </c>
      <c r="P9" s="12" t="s">
        <v>235</v>
      </c>
      <c r="Q9" s="12" t="s">
        <v>235</v>
      </c>
    </row>
    <row r="10" ht="13.5" customHeight="1" spans="2:18">
      <c r="H10" s="13"/>
      <c r="I10" s="13"/>
      <c r="J10" s="13"/>
      <c r="K10" s="13"/>
      <c r="L10" s="13"/>
      <c r="M10" s="13"/>
      <c r="N10" s="13"/>
      <c r="O10" s="13"/>
      <c r="P10" s="13"/>
      <c r="Q10" s="13"/>
    </row>
    <row r="11" ht="13.5" customHeight="1" spans="2:18">
      <c r="B11" s="3" t="s">
        <v>99</v>
      </c>
      <c r="D11" s="14">
        <f>'Income Statement'!D31</f>
        <v>30905</v>
      </c>
      <c r="E11" s="14">
        <f>'Income Statement'!E31</f>
        <v>31747</v>
      </c>
      <c r="F11" s="14">
        <f>'Income Statement'!F31</f>
        <v>34424</v>
      </c>
      <c r="G11" s="15">
        <f>'Income Statement'!G31</f>
        <v>37378</v>
      </c>
      <c r="H11" s="16">
        <f ca="1">'Income Statement'!H31</f>
        <v>71304.3465553981</v>
      </c>
      <c r="I11" s="16">
        <f ca="1">'Income Statement'!I31</f>
        <v>78392.6285047074</v>
      </c>
      <c r="J11" s="16">
        <f ca="1">'Income Statement'!J31</f>
        <v>85410.544049717</v>
      </c>
      <c r="K11" s="16">
        <f ca="1">'Income Statement'!K31</f>
        <v>92109.3573121846</v>
      </c>
      <c r="L11" s="16">
        <f ca="1">'Income Statement'!L31</f>
        <v>98605.0337610754</v>
      </c>
      <c r="M11" s="16">
        <f ca="1">'Income Statement'!M31</f>
        <v>104641.726215815</v>
      </c>
      <c r="N11" s="16">
        <f ca="1">'Income Statement'!N31</f>
        <v>109960.68702089</v>
      </c>
      <c r="O11" s="16">
        <f ca="1">'Income Statement'!O31</f>
        <v>114693.994157912</v>
      </c>
      <c r="P11" s="16">
        <f ca="1">'Income Statement'!P31</f>
        <v>118598.86822031</v>
      </c>
      <c r="Q11" s="16">
        <f ca="1">'Income Statement'!Q31</f>
        <v>121441.261154537</v>
      </c>
    </row>
    <row r="12" ht="13.5" customHeight="1" spans="2:18">
      <c r="B12" s="3" t="s">
        <v>470</v>
      </c>
      <c r="D12" s="15">
        <f>-D11*'Cost Buildup'!D37</f>
        <v>-8545.66562631294</v>
      </c>
      <c r="E12" s="15">
        <f>-E11*'Cost Buildup'!E37</f>
        <v>-8592.19128598422</v>
      </c>
      <c r="F12" s="15">
        <f>-F11*'Cost Buildup'!F37</f>
        <v>-9938.73090831739</v>
      </c>
      <c r="G12" s="15">
        <f>-G11*'Cost Buildup'!G37</f>
        <v>-9832.57752219026</v>
      </c>
      <c r="H12" s="17">
        <f ca="1">-H11*'Cost Buildup'!H37</f>
        <v>-18971.0834386996</v>
      </c>
      <c r="I12" s="17">
        <f ca="1">-I11*'Cost Buildup'!I37</f>
        <v>-21092.1546083335</v>
      </c>
      <c r="J12" s="17">
        <f ca="1">-J11*'Cost Buildup'!J37</f>
        <v>-23236.611734729</v>
      </c>
      <c r="K12" s="17">
        <f ca="1">-K11*'Cost Buildup'!K37</f>
        <v>-25335.4047563421</v>
      </c>
      <c r="L12" s="17">
        <f ca="1">-L11*'Cost Buildup'!L37</f>
        <v>-27417.9068653428</v>
      </c>
      <c r="M12" s="17">
        <f ca="1">-M11*'Cost Buildup'!M37</f>
        <v>-29410.381963661</v>
      </c>
      <c r="N12" s="17">
        <f ca="1">-N11*'Cost Buildup'!N37</f>
        <v>-31235.1998842904</v>
      </c>
      <c r="O12" s="17">
        <f ca="1">-O11*'Cost Buildup'!O37</f>
        <v>-32923.8150680757</v>
      </c>
      <c r="P12" s="17">
        <f ca="1">-P11*'Cost Buildup'!P37</f>
        <v>-34400.5365514842</v>
      </c>
      <c r="Q12" s="17">
        <f ca="1">-Q11*'Cost Buildup'!Q37</f>
        <v>-35589.3188099301</v>
      </c>
    </row>
    <row r="13" ht="13.5" customHeight="1" spans="2:18">
      <c r="B13" s="3" t="s">
        <v>471</v>
      </c>
      <c r="D13" s="14">
        <f>'Income Statement'!D29</f>
        <v>4225</v>
      </c>
      <c r="E13" s="14">
        <f>'Income Statement'!E29</f>
        <v>4678</v>
      </c>
      <c r="F13" s="14">
        <f>'Income Statement'!F29</f>
        <v>4812</v>
      </c>
      <c r="G13" s="14">
        <f>'Income Statement'!G29</f>
        <v>4902</v>
      </c>
      <c r="H13" s="16">
        <f ca="1">'Income Statement'!H29</f>
        <v>3083.6</v>
      </c>
      <c r="I13" s="16">
        <f ca="1">'Income Statement'!I29</f>
        <v>3083.6</v>
      </c>
      <c r="J13" s="16">
        <f ca="1">'Income Statement'!J29</f>
        <v>3083.6</v>
      </c>
      <c r="K13" s="16">
        <f ca="1">'Income Statement'!K29</f>
        <v>3206.944</v>
      </c>
      <c r="L13" s="16">
        <f ca="1">'Income Statement'!L29</f>
        <v>3206.944</v>
      </c>
      <c r="M13" s="16">
        <f ca="1">'Income Statement'!M29</f>
        <v>3206.944</v>
      </c>
      <c r="N13" s="16">
        <f ca="1">'Income Statement'!N29</f>
        <v>3335.22176</v>
      </c>
      <c r="O13" s="16">
        <f ca="1">'Income Statement'!O29</f>
        <v>3335.22176</v>
      </c>
      <c r="P13" s="16">
        <f ca="1">'Income Statement'!P29</f>
        <v>3335.22176</v>
      </c>
      <c r="Q13" s="16">
        <f ca="1">'Income Statement'!Q29</f>
        <v>3468.6306304</v>
      </c>
    </row>
    <row r="14" ht="13.5" customHeight="1" spans="2:18">
      <c r="B14" s="3" t="s">
        <v>472</v>
      </c>
      <c r="D14" s="15">
        <f>-SUM('Cash Flows'!D39:D40)</f>
        <v>7650</v>
      </c>
      <c r="E14" s="15">
        <f>-SUM('Cash Flows'!E39:E40)</f>
        <v>3075</v>
      </c>
      <c r="F14" s="15">
        <f>-SUM('Cash Flows'!F39:F40)</f>
        <v>8151</v>
      </c>
      <c r="G14" s="15">
        <f>-SUM('Cash Flows'!G39:G40)</f>
        <v>7711</v>
      </c>
      <c r="H14" s="17">
        <f ca="1">-SUM('Cash Flows'!H39:H40)</f>
        <v>3902.08</v>
      </c>
      <c r="I14" s="17">
        <f ca="1">-SUM('Cash Flows'!I39:I40)</f>
        <v>3902.08</v>
      </c>
      <c r="J14" s="17">
        <f ca="1">-SUM('Cash Flows'!J39:J40)</f>
        <v>3902.08</v>
      </c>
      <c r="K14" s="17">
        <f ca="1">-SUM('Cash Flows'!K39:K40)</f>
        <v>4058.1632</v>
      </c>
      <c r="L14" s="17">
        <f ca="1">-SUM('Cash Flows'!L39:L40)</f>
        <v>4058.1632</v>
      </c>
      <c r="M14" s="17">
        <f ca="1">-SUM('Cash Flows'!M39:M40)</f>
        <v>4058.1632</v>
      </c>
      <c r="N14" s="17">
        <f ca="1">-SUM('Cash Flows'!N39:N40)</f>
        <v>4220.489728</v>
      </c>
      <c r="O14" s="17">
        <f ca="1">-SUM('Cash Flows'!O39:O40)</f>
        <v>4220.489728</v>
      </c>
      <c r="P14" s="17">
        <f ca="1">-SUM('Cash Flows'!P39:P40)</f>
        <v>4220.489728</v>
      </c>
      <c r="Q14" s="17">
        <f ca="1">-SUM('Cash Flows'!Q39:Q40)</f>
        <v>4389.30931712</v>
      </c>
    </row>
    <row r="15" ht="13.5" customHeight="1" spans="2:18">
      <c r="B15" s="3" t="s">
        <v>473</v>
      </c>
      <c r="D15" s="15">
        <f>'Cash Flows'!D19+'Cash Flows'!D20+'Cash Flows'!D21+'Cash Flows'!D22+'Cash Flows'!D30+'Cash Flows'!D48+'Cash Flows'!D56+'Cash Flows'!D77+'Cash Flows'!D78+'Cash Flows'!D79</f>
        <v>-6187</v>
      </c>
      <c r="E15" s="15">
        <f>'Cash Flows'!E19+'Cash Flows'!E20+'Cash Flows'!E21+'Cash Flows'!E22+'Cash Flows'!E30+'Cash Flows'!E48+'Cash Flows'!E56+'Cash Flows'!E77+'Cash Flows'!E78+'Cash Flows'!E79</f>
        <v>-5195</v>
      </c>
      <c r="F15" s="15">
        <f>'Cash Flows'!F19+'Cash Flows'!F20+'Cash Flows'!F21+'Cash Flows'!F22+'Cash Flows'!F30+'Cash Flows'!F48+'Cash Flows'!F56+'Cash Flows'!F77+'Cash Flows'!F78+'Cash Flows'!F79</f>
        <v>-567</v>
      </c>
      <c r="G15" s="15">
        <f>'Cash Flows'!G19+'Cash Flows'!G20+'Cash Flows'!G21+'Cash Flows'!G22+'Cash Flows'!G30+'Cash Flows'!G48+'Cash Flows'!G56+'Cash Flows'!G77+'Cash Flows'!G78+'Cash Flows'!G79</f>
        <v>-1150</v>
      </c>
      <c r="H15" s="17">
        <f>'Cash Flows'!H19+'Cash Flows'!H20+'Cash Flows'!H21+'Cash Flows'!H22+'Cash Flows'!H30+'Cash Flows'!H48+'Cash Flows'!H56+'Cash Flows'!H77+'Cash Flows'!H78+'Cash Flows'!H79</f>
        <v>-514.302943867704</v>
      </c>
      <c r="I15" s="17">
        <f>'Cash Flows'!I19+'Cash Flows'!I20+'Cash Flows'!I21+'Cash Flows'!I22+'Cash Flows'!I30+'Cash Flows'!I48+'Cash Flows'!I56+'Cash Flows'!I77+'Cash Flows'!I78+'Cash Flows'!I79</f>
        <v>-2565.94532476319</v>
      </c>
      <c r="J15" s="17">
        <f>'Cash Flows'!J19+'Cash Flows'!J20+'Cash Flows'!J21+'Cash Flows'!J22+'Cash Flows'!J30+'Cash Flows'!J48+'Cash Flows'!J56+'Cash Flows'!J77+'Cash Flows'!J78+'Cash Flows'!J79</f>
        <v>-2540.47281288736</v>
      </c>
      <c r="K15" s="17">
        <f>'Cash Flows'!K19+'Cash Flows'!K20+'Cash Flows'!K21+'Cash Flows'!K22+'Cash Flows'!K30+'Cash Flows'!K48+'Cash Flows'!K56+'Cash Flows'!K77+'Cash Flows'!K78+'Cash Flows'!K79</f>
        <v>-2469.60866647442</v>
      </c>
      <c r="L15" s="17">
        <f>'Cash Flows'!L19+'Cash Flows'!L20+'Cash Flows'!L21+'Cash Flows'!L22+'Cash Flows'!L30+'Cash Flows'!L48+'Cash Flows'!L56+'Cash Flows'!L77+'Cash Flows'!L78+'Cash Flows'!L79</f>
        <v>-2351.42319879463</v>
      </c>
      <c r="M15" s="17">
        <f>'Cash Flows'!M19+'Cash Flows'!M20+'Cash Flows'!M21+'Cash Flows'!M22+'Cash Flows'!M30+'Cash Flows'!M48+'Cash Flows'!M56+'Cash Flows'!M77+'Cash Flows'!M78+'Cash Flows'!M79</f>
        <v>-2185.27181791665</v>
      </c>
      <c r="N15" s="17">
        <f>'Cash Flows'!N19+'Cash Flows'!N20+'Cash Flows'!N21+'Cash Flows'!N22+'Cash Flows'!N30+'Cash Flows'!N48+'Cash Flows'!N56+'Cash Flows'!N77+'Cash Flows'!N78+'Cash Flows'!N79</f>
        <v>-1971.89056937622</v>
      </c>
      <c r="O15" s="17">
        <f>'Cash Flows'!O19+'Cash Flows'!O20+'Cash Flows'!O21+'Cash Flows'!O22+'Cash Flows'!O30+'Cash Flows'!O48+'Cash Flows'!O56+'Cash Flows'!O77+'Cash Flows'!O78+'Cash Flows'!O79</f>
        <v>-1713.44867568287</v>
      </c>
      <c r="P15" s="17">
        <f>'Cash Flows'!P19+'Cash Flows'!P20+'Cash Flows'!P21+'Cash Flows'!P22+'Cash Flows'!P30+'Cash Flows'!P48+'Cash Flows'!P56+'Cash Flows'!P77+'Cash Flows'!P78+'Cash Flows'!P79</f>
        <v>-1413.55739174192</v>
      </c>
      <c r="Q15" s="17">
        <f>'Cash Flows'!Q19+'Cash Flows'!Q20+'Cash Flows'!Q21+'Cash Flows'!Q22+'Cash Flows'!Q30+'Cash Flows'!Q48+'Cash Flows'!Q56+'Cash Flows'!Q77+'Cash Flows'!Q78+'Cash Flows'!Q79</f>
        <v>-1077.23490439716</v>
      </c>
    </row>
    <row r="16" ht="13.5" customHeight="1" spans="2:18">
      <c r="H16" s="13"/>
      <c r="I16" s="13"/>
      <c r="J16" s="13"/>
      <c r="K16" s="13"/>
      <c r="L16" s="13"/>
      <c r="M16" s="13"/>
      <c r="N16" s="13"/>
      <c r="O16" s="13"/>
      <c r="P16" s="13"/>
      <c r="Q16" s="13"/>
    </row>
    <row r="17" s="1" customFormat="1" ht="13.5" customHeight="1" spans="2:18">
      <c r="B17" s="1" t="s">
        <v>469</v>
      </c>
      <c r="C17" s="18"/>
      <c r="D17" s="19">
        <f t="shared" ref="D17:Q17" si="0">SUM(D11:D16)</f>
        <v>28047.3343736871</v>
      </c>
      <c r="E17" s="18">
        <f t="shared" si="0"/>
        <v>25712.8087140158</v>
      </c>
      <c r="F17" s="18">
        <f t="shared" si="0"/>
        <v>36881.2690916826</v>
      </c>
      <c r="G17" s="19">
        <f t="shared" si="0"/>
        <v>39008.4224778097</v>
      </c>
      <c r="H17" s="20">
        <f ca="1" t="shared" si="0"/>
        <v>58804.6401728308</v>
      </c>
      <c r="I17" s="20">
        <f ca="1" t="shared" si="0"/>
        <v>61720.2085716107</v>
      </c>
      <c r="J17" s="20">
        <f ca="1" t="shared" si="0"/>
        <v>66619.1395021006</v>
      </c>
      <c r="K17" s="20">
        <f ca="1" t="shared" si="0"/>
        <v>71569.451089368</v>
      </c>
      <c r="L17" s="20">
        <f ca="1" t="shared" si="0"/>
        <v>76100.810896938</v>
      </c>
      <c r="M17" s="20">
        <f ca="1" t="shared" si="0"/>
        <v>80311.1796342379</v>
      </c>
      <c r="N17" s="20">
        <f ca="1" t="shared" si="0"/>
        <v>84309.3080552235</v>
      </c>
      <c r="O17" s="20">
        <f ca="1" t="shared" si="0"/>
        <v>87612.4419021536</v>
      </c>
      <c r="P17" s="20">
        <f ca="1" t="shared" si="0"/>
        <v>90340.4857650843</v>
      </c>
      <c r="Q17" s="20">
        <f ca="1" t="shared" si="0"/>
        <v>92632.6473877299</v>
      </c>
    </row>
    <row r="18" ht="13.5" customHeight="1" spans="2:18">
      <c r="E18" s="21"/>
      <c r="F18" s="21"/>
      <c r="G18" s="21"/>
      <c r="H18" s="21"/>
      <c r="I18" s="21"/>
      <c r="J18" s="21"/>
      <c r="K18" s="21"/>
      <c r="L18" s="21"/>
      <c r="M18" s="21"/>
      <c r="N18" s="21"/>
      <c r="O18" s="21"/>
      <c r="P18" s="21"/>
      <c r="Q18" s="21"/>
    </row>
    <row r="19" ht="13.5" customHeight="1" spans="2:18">
      <c r="E19" s="22"/>
      <c r="F19" s="22"/>
      <c r="G19" s="22"/>
      <c r="H19" s="22"/>
      <c r="I19" s="23"/>
      <c r="J19" s="23"/>
      <c r="K19" s="23"/>
      <c r="L19" s="23"/>
      <c r="M19" s="23"/>
      <c r="N19" s="23"/>
      <c r="O19" s="23"/>
      <c r="P19" s="23"/>
      <c r="Q19" s="23"/>
      <c r="R19" s="21"/>
    </row>
    <row r="20" ht="13.5" customHeight="1" spans="2:18">
      <c r="B20" s="24" t="s">
        <v>474</v>
      </c>
      <c r="C20" s="24"/>
      <c r="H20" s="14"/>
      <c r="K20" s="14"/>
    </row>
    <row r="21" ht="17.25" customHeight="1" spans="2:18">
      <c r="B21" s="3" t="s">
        <v>475</v>
      </c>
      <c r="C21" s="23">
        <f>Assumptions!D30</f>
        <v>0.07077</v>
      </c>
      <c r="H21" s="14"/>
    </row>
    <row r="22" ht="17.25" customHeight="1" spans="2:18">
      <c r="B22" s="3" t="s">
        <v>476</v>
      </c>
      <c r="C22" s="23">
        <f>'Market data'!H27</f>
        <v>0.100520079852672</v>
      </c>
    </row>
    <row r="23" ht="13.5" customHeight="1" spans="2:18">
      <c r="B23" s="3" t="s">
        <v>419</v>
      </c>
      <c r="C23" s="25">
        <f>'Equity Beta'!I27</f>
        <v>0.779950480661356</v>
      </c>
    </row>
    <row r="24" ht="17.25" customHeight="1" spans="2:18">
      <c r="B24" s="3" t="s">
        <v>477</v>
      </c>
      <c r="C24" s="23">
        <f>C22-C21</f>
        <v>0.0297500798526722</v>
      </c>
    </row>
    <row r="26" s="1" customFormat="1" ht="13.5" customHeight="1" spans="2:18">
      <c r="B26" s="1" t="s">
        <v>478</v>
      </c>
      <c r="C26" s="26">
        <f>C21+C23*C24</f>
        <v>0.0939735890808054</v>
      </c>
    </row>
    <row r="27" ht="13.5" customHeight="1" spans="2:18">
      <c r="C27" s="23"/>
    </row>
    <row r="29" ht="13.5" customHeight="1" spans="2:18">
      <c r="B29" s="24" t="s">
        <v>479</v>
      </c>
      <c r="C29" s="24"/>
      <c r="D29" s="24"/>
      <c r="E29" s="24"/>
    </row>
    <row r="30" s="2" customFormat="1" ht="13.5" customHeight="1" spans="2:18">
      <c r="B30" s="2" t="s">
        <v>39</v>
      </c>
      <c r="C30" s="2" t="s">
        <v>480</v>
      </c>
      <c r="D30" s="2" t="s">
        <v>481</v>
      </c>
      <c r="E30" s="2" t="s">
        <v>482</v>
      </c>
    </row>
    <row r="31" ht="13.5" customHeight="1" spans="2:18">
      <c r="B31" s="3" t="s">
        <v>483</v>
      </c>
      <c r="C31" s="23">
        <f>C26</f>
        <v>0.0939735890808054</v>
      </c>
      <c r="D31" s="23">
        <f>C35/C37</f>
        <v>1</v>
      </c>
      <c r="E31" s="23">
        <f>D31*C31</f>
        <v>0.0939735890808054</v>
      </c>
    </row>
    <row r="32" ht="13.5" customHeight="1" spans="2:18">
      <c r="B32" s="3" t="s">
        <v>484</v>
      </c>
      <c r="C32" s="23">
        <f>Assumptions!D31</f>
        <v>0.0334097559928208</v>
      </c>
      <c r="D32" s="23">
        <f>C36/C37</f>
        <v>0</v>
      </c>
      <c r="E32" s="23">
        <f>D32*C32</f>
        <v>0</v>
      </c>
    </row>
    <row r="33" ht="13.5" customHeight="1" spans="2:5">
      <c r="B33" s="1" t="s">
        <v>479</v>
      </c>
      <c r="E33" s="27">
        <f>SUM(E31:E32)</f>
        <v>0.0939735890808054</v>
      </c>
    </row>
    <row r="34" ht="13.5" customHeight="1" spans="2:5">
      <c r="B34" s="1"/>
      <c r="E34" s="28"/>
    </row>
    <row r="35" ht="13.5" customHeight="1" spans="2:5">
      <c r="B35" s="3" t="s">
        <v>485</v>
      </c>
      <c r="C35" s="14">
        <f>Assumptions!D25</f>
        <v>468926.22330412</v>
      </c>
    </row>
    <row r="36" ht="13.5" customHeight="1" spans="2:5">
      <c r="B36" s="3" t="s">
        <v>486</v>
      </c>
      <c r="C36" s="14">
        <v>0</v>
      </c>
    </row>
    <row r="37" ht="13.5" customHeight="1" spans="2:5">
      <c r="B37" s="3" t="s">
        <v>487</v>
      </c>
      <c r="C37" s="18">
        <f>SUM(C35:C36)</f>
        <v>468926.22330412</v>
      </c>
    </row>
    <row r="40" ht="13.5" customHeight="1" spans="2:5">
      <c r="B40" s="24" t="s">
        <v>488</v>
      </c>
      <c r="C40" s="24"/>
    </row>
    <row r="41" ht="13.5" customHeight="1" spans="2:5">
      <c r="B41" s="3" t="s">
        <v>47</v>
      </c>
      <c r="C41" s="23">
        <f>Assumptions!D29</f>
        <v>0.04</v>
      </c>
    </row>
    <row r="42" ht="13.5" customHeight="1" spans="2:5">
      <c r="B42" s="3" t="s">
        <v>488</v>
      </c>
      <c r="C42" s="14">
        <f ca="1">Q17*(1+C41)/(E33-C41)</f>
        <v>1784909.15508711</v>
      </c>
    </row>
    <row r="44" ht="13.5" customHeight="1" spans="2:5">
      <c r="B44" s="24" t="s">
        <v>489</v>
      </c>
      <c r="C44" s="24"/>
    </row>
    <row r="45" ht="13.5" customHeight="1" spans="2:5">
      <c r="B45" s="3" t="s">
        <v>490</v>
      </c>
      <c r="C45" s="14">
        <f ca="1">NPV(E33,H17:Q17)</f>
        <v>467253.343067472</v>
      </c>
    </row>
    <row r="46" ht="13.5" customHeight="1" spans="2:5">
      <c r="B46" s="3" t="s">
        <v>491</v>
      </c>
      <c r="C46" s="14">
        <f ca="1">PV(E33,COUNT(H8:Q8),0,-C42)</f>
        <v>727022.319877367</v>
      </c>
    </row>
    <row r="48" ht="13.5" customHeight="1" spans="2:5">
      <c r="B48" s="1" t="s">
        <v>492</v>
      </c>
      <c r="C48" s="18">
        <f ca="1">SUM(C45:C47)</f>
        <v>1194275.66294484</v>
      </c>
    </row>
    <row r="50" ht="13.5" customHeight="1" spans="2:12">
      <c r="B50" s="3" t="s">
        <v>493</v>
      </c>
      <c r="C50" s="14">
        <f>'Balance Sheet'!H32</f>
        <v>22201</v>
      </c>
    </row>
    <row r="51" ht="13.5" customHeight="1" spans="2:12">
      <c r="B51" s="3" t="s">
        <v>494</v>
      </c>
      <c r="C51" s="14">
        <f>C36</f>
        <v>0</v>
      </c>
    </row>
    <row r="52" ht="13.5" customHeight="1" spans="2:12">
      <c r="B52" s="3" t="s">
        <v>495</v>
      </c>
      <c r="C52" s="14">
        <f>'Balance Sheet'!H47</f>
        <v>445</v>
      </c>
    </row>
    <row r="53" ht="13.5" customHeight="1" spans="2:12">
      <c r="B53" s="3" t="s">
        <v>496</v>
      </c>
      <c r="C53" s="14">
        <v>0</v>
      </c>
    </row>
    <row r="54" ht="13.5" customHeight="1" spans="2:12">
      <c r="F54" s="29" t="s">
        <v>497</v>
      </c>
      <c r="G54" s="29"/>
      <c r="H54" s="29"/>
      <c r="I54" s="29"/>
      <c r="J54" s="29"/>
      <c r="K54" s="29"/>
      <c r="L54" s="29"/>
    </row>
    <row r="55" s="1" customFormat="1" ht="13.5" customHeight="1" spans="2:12">
      <c r="B55" s="1" t="s">
        <v>485</v>
      </c>
      <c r="C55" s="18">
        <f ca="1">C48+C50-C51-C52-C53</f>
        <v>1216031.66294484</v>
      </c>
    </row>
    <row r="56" ht="13.5" customHeight="1" spans="2:12">
      <c r="F56" s="30"/>
      <c r="G56" s="30"/>
      <c r="H56" s="24" t="s">
        <v>498</v>
      </c>
      <c r="I56" s="24"/>
      <c r="J56" s="24"/>
      <c r="K56" s="24"/>
      <c r="L56" s="24"/>
    </row>
    <row r="57" ht="13.5" customHeight="1" spans="2:12">
      <c r="B57" s="3" t="s">
        <v>499</v>
      </c>
      <c r="C57" s="31">
        <f>Assumptions!D22</f>
        <v>4038289901</v>
      </c>
      <c r="F57" s="30"/>
      <c r="G57" s="32">
        <f ca="1">C58</f>
        <v>3011.25400294742</v>
      </c>
      <c r="H57" s="33">
        <f>$E$33-0.01</f>
        <v>0.0839735890808054</v>
      </c>
      <c r="I57" s="33">
        <f>$E$33-0.005</f>
        <v>0.0889735890808054</v>
      </c>
      <c r="J57" s="33">
        <f>$E$33+0</f>
        <v>0.0939735890808054</v>
      </c>
      <c r="K57" s="33">
        <f>$E$33+0.005</f>
        <v>0.0989735890808054</v>
      </c>
      <c r="L57" s="33">
        <f>$E$33+0.01</f>
        <v>0.103973589080805</v>
      </c>
    </row>
    <row r="58" ht="15" customHeight="1" spans="2:12">
      <c r="B58" s="34" t="s">
        <v>500</v>
      </c>
      <c r="C58" s="35">
        <f ca="1">C55*10^7/C57</f>
        <v>3011.25400294742</v>
      </c>
      <c r="F58" s="36" t="s">
        <v>501</v>
      </c>
      <c r="G58" s="33">
        <f>$C$41-0.01</f>
        <v>0.03</v>
      </c>
      <c r="H58" s="37">
        <f ca="1">IF((H$57-$G58)&lt;=0,"n.m.",IFERROR((NPV(H$57,$H$17:$Q$17)+$Q$17*(1+$G58)/(H$57-$G58)/(1+H$57)^COUNT($H$8:$Q$8)+$C$50-$C$51-$C$52-$C$53)*10^7/$C$57,"n.m."))</f>
        <v>3222.42667063914</v>
      </c>
      <c r="I58" s="37">
        <f ca="1">IF((I$57-$G58)&lt;=0,"n.m.",IFERROR((NPV(I$57,$H$17:$Q$17)+$Q$17*(1+$G58)/(I$57-$G58)/(1+I$57)^COUNT($H$8:$Q$8)+$C$50-$C$51-$C$52-$C$53)*10^7/$C$57,"n.m."))</f>
        <v>2947.25499350673</v>
      </c>
      <c r="J58" s="37">
        <f ca="1">IF((J$57-$G58)&lt;=0,"n.m.",IFERROR((NPV(J$57,$H$17:$Q$17)+$Q$17*(1+$G58)/(J$57-$G58)/(1+J$57)^COUNT($H$8:$Q$8)+$C$50-$C$51-$C$52-$C$53)*10^7/$C$57,"n.m."))</f>
        <v>2715.23265438695</v>
      </c>
      <c r="K58" s="37">
        <f ca="1">IF((K$57-$G58)&lt;=0,"n.m.",IFERROR((NPV(K$57,$H$17:$Q$17)+$Q$17*(1+$G58)/(K$57-$G58)/(1+K$57)^COUNT($H$8:$Q$8)+$C$50-$C$51-$C$52-$C$53)*10^7/$C$57,"n.m."))</f>
        <v>2516.97217620577</v>
      </c>
      <c r="L58" s="37">
        <f ca="1">IF((L$57-$G58)&lt;=0,"n.m.",IFERROR((NPV(L$57,$H$17:$Q$17)+$Q$17*(1+$G58)/(L$57-$G58)/(1+L$57)^COUNT($H$8:$Q$8)+$C$50-$C$51-$C$52-$C$53)*10^7/$C$57,"n.m."))</f>
        <v>2345.62425565121</v>
      </c>
    </row>
    <row r="59" ht="13.5" customHeight="1" spans="2:12">
      <c r="C59" s="31"/>
      <c r="F59" s="36"/>
      <c r="G59" s="33">
        <f>$C$41-0.005</f>
        <v>0.035</v>
      </c>
      <c r="H59" s="37">
        <f ca="1">IF((H$57-$G59)&lt;=0,"n.m.",IFERROR((NPV(H$57,$H$17:$Q$17)+$Q$17*(1+$G59)/(H$57-$G59)/(1+H$57)^COUNT($H$8:$Q$8)+$C$50-$C$51-$C$52-$C$53)*10^7/$C$57,"n.m."))</f>
        <v>3432.42945323213</v>
      </c>
      <c r="I59" s="37">
        <f ca="1">IF((I$57-$G59)&lt;=0,"n.m.",IFERROR((NPV(I$57,$H$17:$Q$17)+$Q$17*(1+$G59)/(I$57-$G59)/(1+I$57)^COUNT($H$8:$Q$8)+$C$50-$C$51-$C$52-$C$53)*10^7/$C$57,"n.m."))</f>
        <v>3114.57258624872</v>
      </c>
      <c r="J59" s="37">
        <f ca="1">IF((J$57-$G59)&lt;=0,"n.m.",IFERROR((NPV(J$57,$H$17:$Q$17)+$Q$17*(1+$G59)/(J$57-$G59)/(1+J$57)^COUNT($H$8:$Q$8)+$C$50-$C$51-$C$52-$C$53)*10^7/$C$57,"n.m."))</f>
        <v>2850.69443376464</v>
      </c>
      <c r="K59" s="37">
        <f ca="1">IF((K$57-$G59)&lt;=0,"n.m.",IFERROR((NPV(K$57,$H$17:$Q$17)+$Q$17*(1+$G59)/(K$57-$G59)/(1+K$57)^COUNT($H$8:$Q$8)+$C$50-$C$51-$C$52-$C$53)*10^7/$C$57,"n.m."))</f>
        <v>2628.13709291249</v>
      </c>
      <c r="L59" s="37">
        <f ca="1">IF((L$57-$G59)&lt;=0,"n.m.",IFERROR((NPV(L$57,$H$17:$Q$17)+$Q$17*(1+$G59)/(L$57-$G59)/(1+L$57)^COUNT($H$8:$Q$8)+$C$50-$C$51-$C$52-$C$53)*10^7/$C$57,"n.m."))</f>
        <v>2437.91303857815</v>
      </c>
    </row>
    <row r="60" ht="13.5" customHeight="1" spans="2:12">
      <c r="B60" s="3" t="s">
        <v>502</v>
      </c>
      <c r="C60" s="31">
        <f>Assumptions!D24</f>
        <v>1161.2</v>
      </c>
      <c r="D60" s="14"/>
      <c r="F60" s="36"/>
      <c r="G60" s="33">
        <f>$C$41+0</f>
        <v>0.04</v>
      </c>
      <c r="H60" s="37">
        <f ca="1">IF((H$57-$G60)&lt;=0,"n.m.",IFERROR((NPV(H$57,$H$17:$Q$17)+$Q$17*(1+$G60)/(H$57-$G60)/(1+H$57)^COUNT($H$8:$Q$8)+$C$50-$C$51-$C$52-$C$53)*10^7/$C$57,"n.m."))</f>
        <v>3690.1888067539</v>
      </c>
      <c r="I60" s="37">
        <f ca="1">IF((I$57-$G60)&lt;=0,"n.m.",IFERROR((NPV(I$57,$H$17:$Q$17)+$Q$17*(1+$G60)/(I$57-$G60)/(1+I$57)^COUNT($H$8:$Q$8)+$C$50-$C$51-$C$52-$C$53)*10^7/$C$57,"n.m."))</f>
        <v>3316.05504129351</v>
      </c>
      <c r="J60" s="38">
        <f ca="1">IF((J$57-$G60)&lt;=0,"n.m.",IFERROR((NPV(J$57,$H$17:$Q$17)+$Q$17*(1+$G60)/(J$57-$G60)/(1+J$57)^COUNT($H$8:$Q$8)+$C$50-$C$51-$C$52-$C$53)*10^7/$C$57,"n.m."))</f>
        <v>3011.25400294742</v>
      </c>
      <c r="K60" s="37">
        <f ca="1">IF((K$57-$G60)&lt;=0,"n.m.",IFERROR((NPV(K$57,$H$17:$Q$17)+$Q$17*(1+$G60)/(K$57-$G60)/(1+K$57)^COUNT($H$8:$Q$8)+$C$50-$C$51-$C$52-$C$53)*10^7/$C$57,"n.m."))</f>
        <v>2758.15195896762</v>
      </c>
      <c r="L60" s="37">
        <f ca="1">IF((L$57-$G60)&lt;=0,"n.m.",IFERROR((NPV(L$57,$H$17:$Q$17)+$Q$17*(1+$G60)/(L$57-$G60)/(1+L$57)^COUNT($H$8:$Q$8)+$C$50-$C$51-$C$52-$C$53)*10^7/$C$57,"n.m."))</f>
        <v>2544.62789705487</v>
      </c>
    </row>
    <row r="61" ht="13.5" customHeight="1" spans="2:12">
      <c r="F61" s="36"/>
      <c r="G61" s="33">
        <f>$C$41+0.005</f>
        <v>0.045</v>
      </c>
      <c r="H61" s="37">
        <f ca="1">IF((H$57-$G61)&lt;=0,"n.m.",IFERROR((NPV(H$57,$H$17:$Q$17)+$Q$17*(1+$G61)/(H$57-$G61)/(1+H$57)^COUNT($H$8:$Q$8)+$C$50-$C$51-$C$52-$C$53)*10^7/$C$57,"n.m."))</f>
        <v>4014.08509033548</v>
      </c>
      <c r="I61" s="37">
        <f ca="1">IF((I$57-$G61)&lt;=0,"n.m.",IFERROR((NPV(I$57,$H$17:$Q$17)+$Q$17*(1+$G61)/(I$57-$G61)/(1+I$57)^COUNT($H$8:$Q$8)+$C$50-$C$51-$C$52-$C$53)*10^7/$C$57,"n.m."))</f>
        <v>3563.35646614643</v>
      </c>
      <c r="J61" s="37">
        <f ca="1">IF((J$57-$G61)&lt;=0,"n.m.",IFERROR((NPV(J$57,$H$17:$Q$17)+$Q$17*(1+$G61)/(J$57-$G61)/(1+J$57)^COUNT($H$8:$Q$8)+$C$50-$C$51-$C$52-$C$53)*10^7/$C$57,"n.m."))</f>
        <v>3204.59850217032</v>
      </c>
      <c r="K61" s="37">
        <f ca="1">IF((K$57-$G61)&lt;=0,"n.m.",IFERROR((NPV(K$57,$H$17:$Q$17)+$Q$17*(1+$G61)/(K$57-$G61)/(1+K$57)^COUNT($H$8:$Q$8)+$C$50-$C$51-$C$52-$C$53)*10^7/$C$57,"n.m."))</f>
        <v>2912.25543359397</v>
      </c>
      <c r="L61" s="37">
        <f ca="1">IF((L$57-$G61)&lt;=0,"n.m.",IFERROR((NPV(L$57,$H$17:$Q$17)+$Q$17*(1+$G61)/(L$57-$G61)/(1+L$57)^COUNT($H$8:$Q$8)+$C$50-$C$51-$C$52-$C$53)*10^7/$C$57,"n.m."))</f>
        <v>2669.43811993793</v>
      </c>
    </row>
    <row r="62" ht="13.5" customHeight="1" spans="2:12">
      <c r="B62" s="3" t="s">
        <v>503</v>
      </c>
      <c r="C62" s="22">
        <f ca="1">(C58-C60)/C60</f>
        <v>1.5932259756695</v>
      </c>
      <c r="F62" s="36"/>
      <c r="G62" s="33">
        <f>$C$41+0.01</f>
        <v>0.05</v>
      </c>
      <c r="H62" s="37">
        <f ca="1">IF((H$57-$G62)&lt;=0,"n.m.",IFERROR((NPV(H$57,$H$17:$Q$17)+$Q$17*(1+$G62)/(H$57-$G62)/(1+H$57)^COUNT($H$8:$Q$8)+$C$50-$C$51-$C$52-$C$53)*10^7/$C$57,"n.m."))</f>
        <v>4433.31904425011</v>
      </c>
      <c r="I62" s="37">
        <f ca="1">IF((I$57-$G62)&lt;=0,"n.m.",IFERROR((NPV(I$57,$H$17:$Q$17)+$Q$17*(1+$G62)/(I$57-$G62)/(1+I$57)^COUNT($H$8:$Q$8)+$C$50-$C$51-$C$52-$C$53)*10^7/$C$57,"n.m."))</f>
        <v>3874.11148372342</v>
      </c>
      <c r="J62" s="37">
        <f ca="1">IF((J$57-$G62)&lt;=0,"n.m.",IFERROR((NPV(J$57,$H$17:$Q$17)+$Q$17*(1+$G62)/(J$57-$G62)/(1+J$57)^COUNT($H$8:$Q$8)+$C$50-$C$51-$C$52-$C$53)*10^7/$C$57,"n.m."))</f>
        <v>3441.91132494025</v>
      </c>
      <c r="K62" s="37">
        <f ca="1">IF((K$57-$G62)&lt;=0,"n.m.",IFERROR((NPV(K$57,$H$17:$Q$17)+$Q$17*(1+$G62)/(K$57-$G62)/(1+K$57)^COUNT($H$8:$Q$8)+$C$50-$C$51-$C$52-$C$53)*10^7/$C$57,"n.m."))</f>
        <v>3097.82555739159</v>
      </c>
      <c r="L62" s="37">
        <f ca="1">IF((L$57-$G62)&lt;=0,"n.m.",IFERROR((NPV(L$57,$H$17:$Q$17)+$Q$17*(1+$G62)/(L$57-$G62)/(1+L$57)^COUNT($H$8:$Q$8)+$C$50-$C$51-$C$52-$C$53)*10^7/$C$57,"n.m."))</f>
        <v>2817.37265695474</v>
      </c>
    </row>
  </sheetData>
  <mergeCells count="12">
    <mergeCell ref="K6:L6"/>
    <mergeCell ref="P6:Q6"/>
    <mergeCell ref="B7:Q7"/>
    <mergeCell ref="B20:C20"/>
    <mergeCell ref="B29:E29"/>
    <mergeCell ref="B40:C40"/>
    <mergeCell ref="B44:C44"/>
    <mergeCell ref="F54:L54"/>
    <mergeCell ref="H56:L56"/>
    <mergeCell ref="B8:B9"/>
    <mergeCell ref="F58:F62"/>
    <mergeCell ref="B3:D5"/>
  </mergeCells>
  <pageMargins left="0.7" right="0.7" top="0.75" bottom="0.75" header="0.511811023622047" footer="0.511811023622047"/>
  <pageSetup paperSize="1"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23</vt:i4>
      </vt:variant>
    </vt:vector>
  </HeadingPairs>
  <TitlesOfParts>
    <vt:vector size="23" baseType="lpstr">
      <vt:lpstr>Index</vt:lpstr>
      <vt:lpstr>Assumptions</vt:lpstr>
      <vt:lpstr>P&amp;L Input</vt:lpstr>
      <vt:lpstr>BS Input</vt:lpstr>
      <vt:lpstr>CF Input</vt:lpstr>
      <vt:lpstr>Common Sizing</vt:lpstr>
      <vt:lpstr>Revenue Buildup</vt:lpstr>
      <vt:lpstr>Cost Buildup</vt:lpstr>
      <vt:lpstr>FAS</vt:lpstr>
      <vt:lpstr>BS items </vt:lpstr>
      <vt:lpstr>Working Capital</vt:lpstr>
      <vt:lpstr>Income Statement</vt:lpstr>
      <vt:lpstr>Balance Sheet</vt:lpstr>
      <vt:lpstr>Ratio Analysis</vt:lpstr>
      <vt:lpstr>Cash Flows</vt:lpstr>
      <vt:lpstr>Summary</vt:lpstr>
      <vt:lpstr>Standard Income Statement</vt:lpstr>
      <vt:lpstr>Charts</vt:lpstr>
      <vt:lpstr>Equity Beta</vt:lpstr>
      <vt:lpstr>Market data</vt:lpstr>
      <vt:lpstr>Comps Data</vt:lpstr>
      <vt:lpstr>COMPS</vt:lpstr>
      <vt:lpstr>DCF Valuation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 Raj</dc:creator>
  <cp:lastModifiedBy>Kashish Thakur</cp:lastModifiedBy>
  <cp:revision>13</cp:revision>
  <dcterms:created xsi:type="dcterms:W3CDTF">2006-09-16T00:00:00Z</dcterms:created>
  <dcterms:modified xsi:type="dcterms:W3CDTF">2026-10-17T13:27:53Z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6D010C02AF6E421A96C69E74983CAB4E_13</vt:lpwstr>
  </property>
  <property fmtid="{D5CDD505-2E9C-101B-9397-08002B2CF9AE}" pid="4" name="KSOProductBuildVer">
    <vt:lpwstr>1033-12.1.0.29162</vt:lpwstr>
  </property>
</Properties>
</file>